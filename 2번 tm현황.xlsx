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258443DA-BBBA-41F8-B2CC-652F35D241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호선 ADV 현황" sheetId="8" r:id="rId1"/>
    <sheet name="1호선 ADV 관리전환 현황" sheetId="7" r:id="rId2"/>
    <sheet name="1호선 ADV 상세취부내역" sheetId="12" r:id="rId3"/>
    <sheet name="TM교체이력" sheetId="15" r:id="rId4"/>
    <sheet name="24년도 수선반출 내역" sheetId="31" r:id="rId5"/>
    <sheet name="불용 내역" sheetId="32" r:id="rId6"/>
    <sheet name="수선(집행특례)내역 24년도" sheetId="30" r:id="rId7"/>
    <sheet name="수선(집행특례)내역" sheetId="29" r:id="rId8"/>
    <sheet name="수선집행특례내역" sheetId="23" r:id="rId9"/>
    <sheet name="브러쉬홀더 보유현황" sheetId="28" r:id="rId10"/>
    <sheet name="홀더정산내역" sheetId="26" r:id="rId11"/>
    <sheet name="홀더구매내역" sheetId="22" r:id="rId12"/>
    <sheet name="Sheet2" sheetId="16" r:id="rId13"/>
  </sheets>
  <definedNames>
    <definedName name="_xlnm._FilterDatabase" localSheetId="1" hidden="1">'1호선 ADV 관리전환 현황'!$A$3:$H$33</definedName>
    <definedName name="_xlnm._FilterDatabase" localSheetId="12" hidden="1">Sheet2!$A$1:$E$184</definedName>
    <definedName name="_xlnm._FilterDatabase" localSheetId="3" hidden="1">TM교체이력!$A$3:$M$131</definedName>
    <definedName name="_xlnm.Print_Area" localSheetId="2">'1호선 ADV 상세취부내역'!$A$1:$AD$58</definedName>
    <definedName name="_xlnm.Print_Area" localSheetId="4">'24년도 수선반출 내역'!$B$3:$I$15</definedName>
    <definedName name="_xlnm.Print_Area" localSheetId="3">TM교체이력!$A$1:$L$116</definedName>
    <definedName name="_xlnm.Print_Area" localSheetId="5">'불용 내역'!$B$3:$I$15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8" i="12" l="1"/>
  <c r="AC37" i="12"/>
  <c r="AC34" i="12"/>
  <c r="AC35" i="12"/>
  <c r="AC36" i="12"/>
  <c r="AC39" i="12" l="1"/>
  <c r="C20" i="30" l="1"/>
  <c r="C20" i="29" l="1"/>
  <c r="D7" i="28" l="1"/>
  <c r="C7" i="28"/>
  <c r="I5" i="26" l="1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" i="26"/>
  <c r="D20" i="22"/>
  <c r="D19" i="22"/>
  <c r="D18" i="22"/>
  <c r="D3" i="22" l="1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2" i="22"/>
  <c r="G26" i="12" l="1"/>
  <c r="G23" i="12"/>
  <c r="G24" i="12"/>
  <c r="G25" i="12"/>
  <c r="G22" i="12"/>
  <c r="O26" i="12"/>
  <c r="O23" i="12"/>
  <c r="O24" i="12"/>
  <c r="O25" i="12"/>
  <c r="O22" i="12"/>
  <c r="W57" i="12" l="1"/>
  <c r="O57" i="12"/>
  <c r="G57" i="12"/>
  <c r="W56" i="12"/>
  <c r="O56" i="12"/>
  <c r="G56" i="12"/>
  <c r="W55" i="12"/>
  <c r="O55" i="12"/>
  <c r="G55" i="12"/>
  <c r="W54" i="12"/>
  <c r="O54" i="12"/>
  <c r="G54" i="12"/>
  <c r="W53" i="12"/>
  <c r="O53" i="12"/>
  <c r="G53" i="12"/>
  <c r="W26" i="12"/>
  <c r="W25" i="12"/>
  <c r="W24" i="12"/>
  <c r="W23" i="12"/>
  <c r="W22" i="12"/>
  <c r="AA38" i="12" l="1"/>
  <c r="AA36" i="12"/>
  <c r="AA37" i="12"/>
  <c r="AA35" i="12"/>
  <c r="AA34" i="12"/>
  <c r="D2" i="8"/>
  <c r="AA39" i="12" l="1"/>
  <c r="AF35" i="12" s="1"/>
  <c r="AF33" i="12"/>
  <c r="AF36" i="12"/>
  <c r="H7" i="8"/>
  <c r="B15" i="8"/>
  <c r="E2" i="8" s="1"/>
  <c r="D9" i="8"/>
  <c r="E9" i="8" s="1"/>
  <c r="D6" i="8"/>
  <c r="E6" i="8" s="1"/>
  <c r="E15" i="8" l="1"/>
  <c r="AF37" i="12"/>
  <c r="AF34" i="12"/>
  <c r="AG36" i="12" s="1"/>
  <c r="I4" i="8"/>
  <c r="I2" i="8"/>
  <c r="D15" i="8"/>
  <c r="I3" i="8"/>
  <c r="I5" i="8"/>
  <c r="I6" i="8"/>
  <c r="I7" i="8" l="1"/>
  <c r="AF45" i="12"/>
  <c r="AF46" i="12"/>
  <c r="AF40" i="12"/>
  <c r="AF41" i="12" l="1"/>
  <c r="AF39" i="12"/>
  <c r="AF42" i="12"/>
  <c r="AF47" i="12"/>
  <c r="AF43" i="12"/>
  <c r="AF38" i="12"/>
  <c r="AF44" i="12"/>
  <c r="AG39" i="12" l="1"/>
  <c r="AF48" i="12"/>
  <c r="AH36" i="12" s="1"/>
  <c r="AG47" i="12"/>
  <c r="AH39" i="12" l="1"/>
  <c r="AH4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홍길둥-0000</author>
  </authors>
  <commentList>
    <comment ref="I15" authorId="0" shapeId="0" xr:uid="{00000000-0006-0000-0100-000001000000}">
      <text>
        <r>
          <rPr>
            <b/>
            <sz val="10"/>
            <color indexed="81"/>
            <rFont val="돋움"/>
            <family val="3"/>
            <charset val="129"/>
          </rPr>
          <t>9134547/1991/도시바</t>
        </r>
      </text>
    </comment>
    <comment ref="I25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시리얼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제작년도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제작사임의부여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명판탈거로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인식불가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홍길둥-0000</author>
  </authors>
  <commentList>
    <comment ref="R6" authorId="0" shapeId="0" xr:uid="{00000000-0006-0000-0200-000001000000}">
      <text>
        <r>
          <rPr>
            <b/>
            <sz val="11"/>
            <color indexed="81"/>
            <rFont val="돋음"/>
            <family val="3"/>
            <charset val="129"/>
          </rPr>
          <t>전산: 92TWDH109</t>
        </r>
      </text>
    </comment>
    <comment ref="AG13" authorId="0" shapeId="0" xr:uid="{00000000-0006-0000-0200-000002000000}">
      <text>
        <r>
          <rPr>
            <b/>
            <sz val="11"/>
            <color indexed="81"/>
            <rFont val="돋움"/>
            <family val="3"/>
            <charset val="129"/>
          </rPr>
          <t>구형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브러쉬홀더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부족으로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계자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사용가능품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대체</t>
        </r>
        <r>
          <rPr>
            <b/>
            <sz val="11"/>
            <color indexed="81"/>
            <rFont val="Tahoma"/>
            <family val="2"/>
          </rPr>
          <t>[</t>
        </r>
        <r>
          <rPr>
            <b/>
            <sz val="11"/>
            <color indexed="81"/>
            <rFont val="돋움"/>
            <family val="3"/>
            <charset val="129"/>
          </rPr>
          <t>군자차</t>
        </r>
        <r>
          <rPr>
            <b/>
            <sz val="11"/>
            <color indexed="81"/>
            <rFont val="Tahoma"/>
            <family val="2"/>
          </rPr>
          <t>-660</t>
        </r>
        <r>
          <rPr>
            <b/>
            <sz val="11"/>
            <color indexed="81"/>
            <rFont val="돋움"/>
            <family val="3"/>
            <charset val="129"/>
          </rPr>
          <t>호</t>
        </r>
        <r>
          <rPr>
            <b/>
            <sz val="11"/>
            <color indexed="81"/>
            <rFont val="Tahoma"/>
            <family val="2"/>
          </rPr>
          <t>(23.01.25)]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J51" authorId="0" shapeId="0" xr:uid="{00000000-0006-0000-0200-000003000000}">
      <text>
        <r>
          <rPr>
            <b/>
            <sz val="11"/>
            <color indexed="81"/>
            <rFont val="돋움"/>
            <family val="3"/>
            <charset val="129"/>
          </rPr>
          <t>전산: 115-72</t>
        </r>
      </text>
    </comment>
    <comment ref="J55" authorId="0" shapeId="0" xr:uid="{00000000-0006-0000-0200-000004000000}">
      <text>
        <r>
          <rPr>
            <b/>
            <sz val="11"/>
            <color indexed="81"/>
            <rFont val="돋움"/>
            <family val="3"/>
            <charset val="129"/>
          </rPr>
          <t>전산: 296638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홍길둥-0000</author>
  </authors>
  <commentList>
    <comment ref="A1" authorId="0" shapeId="0" xr:uid="{00000000-0006-0000-0300-000001000000}">
      <text>
        <r>
          <rPr>
            <b/>
            <sz val="16"/>
            <color indexed="81"/>
            <rFont val="돋움"/>
            <family val="3"/>
            <charset val="129"/>
          </rPr>
          <t xml:space="preserve">※ 작성요령
1. 군자차량사업소 운영 견인전동기(TM) 전체입력
2. 취거/취부 Serial No. 정확하게 입력
3. 1호선 저항차 교체 시 3번시트(1호선 ADV 상세취부내역)도 같이 변경
4. 교체사유 및 특이사항 입력, 정비불가 시 비고란에 입력
5. TM반에서 사용하는 순환예비품 현황 파일과 호환해서 사용하시면 될듯 합니다.
   (해당 파일은 대내외 자료제출 시 직관적으로 보려고 업데이트 중) </t>
        </r>
      </text>
    </comment>
    <comment ref="M21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3,4TM 과 1,2TM 위치변경
</t>
        </r>
      </text>
    </comment>
    <comment ref="M1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3/11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1211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취거</t>
        </r>
        <r>
          <rPr>
            <b/>
            <sz val="9"/>
            <color indexed="81"/>
            <rFont val="Tahoma"/>
            <family val="2"/>
          </rPr>
          <t xml:space="preserve"> 
1TM : 88TWDH103 
2TM : 96TWDH244 
3TM : 88TWDH099 
4TM : 87TWDH043 
3/12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1116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취거</t>
        </r>
        <r>
          <rPr>
            <b/>
            <sz val="9"/>
            <color indexed="81"/>
            <rFont val="Tahoma"/>
            <family val="2"/>
          </rPr>
          <t xml:space="preserve"> 
1TM : 88091-48 
2TM : 296638-19 
</t>
        </r>
        <r>
          <rPr>
            <b/>
            <sz val="9"/>
            <color indexed="81"/>
            <rFont val="돋움"/>
            <family val="3"/>
            <charset val="129"/>
          </rPr>
          <t>취부</t>
        </r>
        <r>
          <rPr>
            <b/>
            <sz val="9"/>
            <color indexed="81"/>
            <rFont val="Tahoma"/>
            <family val="2"/>
          </rPr>
          <t xml:space="preserve"> 
1TM : 88TWDH103 
2TM : 96TWDH244</t>
        </r>
      </text>
    </comment>
  </commentList>
</comments>
</file>

<file path=xl/sharedStrings.xml><?xml version="1.0" encoding="utf-8"?>
<sst xmlns="http://schemas.openxmlformats.org/spreadsheetml/2006/main" count="2493" uniqueCount="823">
  <si>
    <t>편성</t>
    <phoneticPr fontId="1" type="noConversion"/>
  </si>
  <si>
    <t>차호</t>
    <phoneticPr fontId="1" type="noConversion"/>
  </si>
  <si>
    <t>위수</t>
    <phoneticPr fontId="1" type="noConversion"/>
  </si>
  <si>
    <t>111편성</t>
    <phoneticPr fontId="1" type="noConversion"/>
  </si>
  <si>
    <t>112편성</t>
    <phoneticPr fontId="1" type="noConversion"/>
  </si>
  <si>
    <t>113편성</t>
    <phoneticPr fontId="1" type="noConversion"/>
  </si>
  <si>
    <t>예비품</t>
    <phoneticPr fontId="1" type="noConversion"/>
  </si>
  <si>
    <t>연번</t>
    <phoneticPr fontId="1" type="noConversion"/>
  </si>
  <si>
    <t>시리얼번호</t>
    <phoneticPr fontId="1" type="noConversion"/>
  </si>
  <si>
    <t>제작년도</t>
    <phoneticPr fontId="1" type="noConversion"/>
  </si>
  <si>
    <t>제조사</t>
    <phoneticPr fontId="1" type="noConversion"/>
  </si>
  <si>
    <t>비  고</t>
    <phoneticPr fontId="1" type="noConversion"/>
  </si>
  <si>
    <t>98TWDH392</t>
    <phoneticPr fontId="1" type="noConversion"/>
  </si>
  <si>
    <t>현대중공업</t>
    <phoneticPr fontId="1" type="noConversion"/>
  </si>
  <si>
    <t>296635-17</t>
    <phoneticPr fontId="1" type="noConversion"/>
  </si>
  <si>
    <t>히타치</t>
    <phoneticPr fontId="1" type="noConversion"/>
  </si>
  <si>
    <t>296633-19</t>
    <phoneticPr fontId="1" type="noConversion"/>
  </si>
  <si>
    <t>88091-50</t>
    <phoneticPr fontId="1" type="noConversion"/>
  </si>
  <si>
    <t>대우중공업</t>
    <phoneticPr fontId="1" type="noConversion"/>
  </si>
  <si>
    <t>98TWDH397</t>
    <phoneticPr fontId="1" type="noConversion"/>
  </si>
  <si>
    <t>88TWDH106</t>
    <phoneticPr fontId="1" type="noConversion"/>
  </si>
  <si>
    <t>92TWDH069</t>
    <phoneticPr fontId="1" type="noConversion"/>
  </si>
  <si>
    <t>96TWDH243</t>
    <phoneticPr fontId="1" type="noConversion"/>
  </si>
  <si>
    <t>88091-60</t>
    <phoneticPr fontId="1" type="noConversion"/>
  </si>
  <si>
    <t>88TWDH109</t>
    <phoneticPr fontId="1" type="noConversion"/>
  </si>
  <si>
    <t>94TWDH007</t>
    <phoneticPr fontId="1" type="noConversion"/>
  </si>
  <si>
    <t>98TWDH391</t>
    <phoneticPr fontId="1" type="noConversion"/>
  </si>
  <si>
    <t>92TWDH051</t>
    <phoneticPr fontId="1" type="noConversion"/>
  </si>
  <si>
    <t>88091-63</t>
    <phoneticPr fontId="1" type="noConversion"/>
  </si>
  <si>
    <t>92TWDH075</t>
    <phoneticPr fontId="1" type="noConversion"/>
  </si>
  <si>
    <t>92TWDH063</t>
    <phoneticPr fontId="1" type="noConversion"/>
  </si>
  <si>
    <t>296633-14</t>
    <phoneticPr fontId="1" type="noConversion"/>
  </si>
  <si>
    <t>296633-9</t>
    <phoneticPr fontId="1" type="noConversion"/>
  </si>
  <si>
    <t>95TWDH297</t>
    <phoneticPr fontId="1" type="noConversion"/>
  </si>
  <si>
    <t>88091-81</t>
    <phoneticPr fontId="1" type="noConversion"/>
  </si>
  <si>
    <t>296634-16</t>
    <phoneticPr fontId="1" type="noConversion"/>
  </si>
  <si>
    <t>92TWDH050</t>
    <phoneticPr fontId="1" type="noConversion"/>
  </si>
  <si>
    <t>89TWDH061</t>
    <phoneticPr fontId="1" type="noConversion"/>
  </si>
  <si>
    <t>88TWDH125</t>
    <phoneticPr fontId="1" type="noConversion"/>
  </si>
  <si>
    <t>89TWDH048</t>
    <phoneticPr fontId="1" type="noConversion"/>
  </si>
  <si>
    <t>미쓰비시</t>
    <phoneticPr fontId="1" type="noConversion"/>
  </si>
  <si>
    <t>94TWDH009</t>
    <phoneticPr fontId="1" type="noConversion"/>
  </si>
  <si>
    <t>92TWDH048</t>
    <phoneticPr fontId="1" type="noConversion"/>
  </si>
  <si>
    <t>296641-10</t>
    <phoneticPr fontId="1" type="noConversion"/>
  </si>
  <si>
    <t>88TWDH128</t>
    <phoneticPr fontId="1" type="noConversion"/>
  </si>
  <si>
    <t>87TWDH041</t>
    <phoneticPr fontId="1" type="noConversion"/>
  </si>
  <si>
    <t>88091-47</t>
    <phoneticPr fontId="1" type="noConversion"/>
  </si>
  <si>
    <t>296636-19</t>
    <phoneticPr fontId="1" type="noConversion"/>
  </si>
  <si>
    <t>297309-15</t>
    <phoneticPr fontId="1" type="noConversion"/>
  </si>
  <si>
    <t>88TWDH019</t>
    <phoneticPr fontId="1" type="noConversion"/>
  </si>
  <si>
    <t>296634-9</t>
    <phoneticPr fontId="1" type="noConversion"/>
  </si>
  <si>
    <t>92TWDH074</t>
    <phoneticPr fontId="1" type="noConversion"/>
  </si>
  <si>
    <t>88091-59</t>
    <phoneticPr fontId="1" type="noConversion"/>
  </si>
  <si>
    <t>96TWDH242</t>
    <phoneticPr fontId="1" type="noConversion"/>
  </si>
  <si>
    <t>???</t>
    <phoneticPr fontId="1" type="noConversion"/>
  </si>
  <si>
    <t>88091-57</t>
    <phoneticPr fontId="1" type="noConversion"/>
  </si>
  <si>
    <t>88TWDH120</t>
    <phoneticPr fontId="1" type="noConversion"/>
  </si>
  <si>
    <t>296640-7</t>
    <phoneticPr fontId="1" type="noConversion"/>
  </si>
  <si>
    <t>92TWDH052</t>
    <phoneticPr fontId="1" type="noConversion"/>
  </si>
  <si>
    <t>296640-10</t>
    <phoneticPr fontId="1" type="noConversion"/>
  </si>
  <si>
    <t>96TWDH239</t>
    <phoneticPr fontId="1" type="noConversion"/>
  </si>
  <si>
    <t>도시바</t>
    <phoneticPr fontId="1" type="noConversion"/>
  </si>
  <si>
    <t>TM(대)</t>
    <phoneticPr fontId="1" type="noConversion"/>
  </si>
  <si>
    <t>98TWDH395</t>
    <phoneticPr fontId="1" type="noConversion"/>
  </si>
  <si>
    <t>88091-76</t>
    <phoneticPr fontId="1" type="noConversion"/>
  </si>
  <si>
    <t>87TWDH047</t>
    <phoneticPr fontId="1" type="noConversion"/>
  </si>
  <si>
    <t>98TWDH396</t>
    <phoneticPr fontId="1" type="noConversion"/>
  </si>
  <si>
    <t>96TWDH246</t>
    <phoneticPr fontId="1" type="noConversion"/>
  </si>
  <si>
    <t>296633-13</t>
    <phoneticPr fontId="1" type="noConversion"/>
  </si>
  <si>
    <t>114편성</t>
    <phoneticPr fontId="1" type="noConversion"/>
  </si>
  <si>
    <t>115편성</t>
    <phoneticPr fontId="1" type="noConversion"/>
  </si>
  <si>
    <t>116편성</t>
    <phoneticPr fontId="1" type="noConversion"/>
  </si>
  <si>
    <t>296961-2</t>
    <phoneticPr fontId="1" type="noConversion"/>
  </si>
  <si>
    <t>296634-14</t>
    <phoneticPr fontId="1" type="noConversion"/>
  </si>
  <si>
    <t>88TWDH085</t>
    <phoneticPr fontId="1" type="noConversion"/>
  </si>
  <si>
    <t>88091-41</t>
    <phoneticPr fontId="1" type="noConversion"/>
  </si>
  <si>
    <t>296635-13</t>
    <phoneticPr fontId="1" type="noConversion"/>
  </si>
  <si>
    <t>88TWDH097</t>
    <phoneticPr fontId="1" type="noConversion"/>
  </si>
  <si>
    <t>88TWDH126</t>
    <phoneticPr fontId="1" type="noConversion"/>
  </si>
  <si>
    <t>88TWDH124</t>
    <phoneticPr fontId="1" type="noConversion"/>
  </si>
  <si>
    <t>94TWDH005</t>
    <phoneticPr fontId="1" type="noConversion"/>
  </si>
  <si>
    <t>87TWDH195</t>
    <phoneticPr fontId="1" type="noConversion"/>
  </si>
  <si>
    <t>296640-2</t>
    <phoneticPr fontId="1" type="noConversion"/>
  </si>
  <si>
    <t>92TWDH056</t>
    <phoneticPr fontId="1" type="noConversion"/>
  </si>
  <si>
    <t>88091-70</t>
    <phoneticPr fontId="1" type="noConversion"/>
  </si>
  <si>
    <t>88091-66</t>
    <phoneticPr fontId="1" type="noConversion"/>
  </si>
  <si>
    <t>87TWDH300</t>
    <phoneticPr fontId="1" type="noConversion"/>
  </si>
  <si>
    <t>296638-11</t>
    <phoneticPr fontId="1" type="noConversion"/>
  </si>
  <si>
    <t>88TWDH089</t>
    <phoneticPr fontId="1" type="noConversion"/>
  </si>
  <si>
    <t>88TWDH095</t>
    <phoneticPr fontId="1" type="noConversion"/>
  </si>
  <si>
    <t>96TWDH254</t>
    <phoneticPr fontId="1" type="noConversion"/>
  </si>
  <si>
    <t>89TWDH068</t>
    <phoneticPr fontId="1" type="noConversion"/>
  </si>
  <si>
    <t>92TWDH070</t>
    <phoneticPr fontId="1" type="noConversion"/>
  </si>
  <si>
    <t>아남수선(사용불가)</t>
    <phoneticPr fontId="1" type="noConversion"/>
  </si>
  <si>
    <t>계자만 있음</t>
    <phoneticPr fontId="1" type="noConversion"/>
  </si>
  <si>
    <t>2021-03-26</t>
    <phoneticPr fontId="1" type="noConversion"/>
  </si>
  <si>
    <t>취부편성</t>
    <phoneticPr fontId="1" type="noConversion"/>
  </si>
  <si>
    <t>계</t>
    <phoneticPr fontId="1" type="noConversion"/>
  </si>
  <si>
    <t>보유율(%)</t>
    <phoneticPr fontId="1" type="noConversion"/>
  </si>
  <si>
    <t>보유수량</t>
    <phoneticPr fontId="1" type="noConversion"/>
  </si>
  <si>
    <t>도입연도별(10년) 수량</t>
    <phoneticPr fontId="1" type="noConversion"/>
  </si>
  <si>
    <t>제작사</t>
    <phoneticPr fontId="1" type="noConversion"/>
  </si>
  <si>
    <t>사용연수(년)</t>
    <phoneticPr fontId="1" type="noConversion"/>
  </si>
  <si>
    <t>취부</t>
    <phoneticPr fontId="1" type="noConversion"/>
  </si>
  <si>
    <t>교환일자</t>
    <phoneticPr fontId="1" type="noConversion"/>
  </si>
  <si>
    <t>296637-4</t>
    <phoneticPr fontId="1" type="noConversion"/>
  </si>
  <si>
    <t>296637-1</t>
    <phoneticPr fontId="1" type="noConversion"/>
  </si>
  <si>
    <t>296631-4</t>
    <phoneticPr fontId="1" type="noConversion"/>
  </si>
  <si>
    <t>296638-13</t>
    <phoneticPr fontId="1" type="noConversion"/>
  </si>
  <si>
    <t>296635-20</t>
    <phoneticPr fontId="1" type="noConversion"/>
  </si>
  <si>
    <t>296632-7</t>
    <phoneticPr fontId="1" type="noConversion"/>
  </si>
  <si>
    <t>296637-12</t>
    <phoneticPr fontId="1" type="noConversion"/>
  </si>
  <si>
    <t>296632-5</t>
    <phoneticPr fontId="1" type="noConversion"/>
  </si>
  <si>
    <t>현대중공업</t>
  </si>
  <si>
    <t>296637-14</t>
    <phoneticPr fontId="1" type="noConversion"/>
  </si>
  <si>
    <t>8E-120</t>
    <phoneticPr fontId="1" type="noConversion"/>
  </si>
  <si>
    <t>296632-13</t>
    <phoneticPr fontId="1" type="noConversion"/>
  </si>
  <si>
    <t>296638-20M</t>
    <phoneticPr fontId="1" type="noConversion"/>
  </si>
  <si>
    <t>296632-15</t>
    <phoneticPr fontId="1" type="noConversion"/>
  </si>
  <si>
    <t>296637-7</t>
    <phoneticPr fontId="1" type="noConversion"/>
  </si>
  <si>
    <t>296632-12</t>
    <phoneticPr fontId="1" type="noConversion"/>
  </si>
  <si>
    <t>TM교체 이력</t>
    <phoneticPr fontId="1" type="noConversion"/>
  </si>
  <si>
    <t>2021-03-26</t>
  </si>
  <si>
    <t>92TWDH048</t>
  </si>
  <si>
    <t>92TWDH063</t>
  </si>
  <si>
    <t>2021-03-31</t>
  </si>
  <si>
    <t>296633-10</t>
  </si>
  <si>
    <t>히타치</t>
  </si>
  <si>
    <t>296634-9</t>
  </si>
  <si>
    <t>도시바</t>
  </si>
  <si>
    <t>88091-59</t>
  </si>
  <si>
    <t>대우중공업</t>
  </si>
  <si>
    <t>92TWDH050</t>
  </si>
  <si>
    <t>88091-57</t>
  </si>
  <si>
    <t>* 신정 반입 8대, 시흥 반입 14대, 시흥 상호교체 8대</t>
    <phoneticPr fontId="1" type="noConversion"/>
  </si>
  <si>
    <t>98TWDH398</t>
    <phoneticPr fontId="1" type="noConversion"/>
  </si>
  <si>
    <t>88TWDH116</t>
  </si>
  <si>
    <t>88TWDH116</t>
    <phoneticPr fontId="1" type="noConversion"/>
  </si>
  <si>
    <t>296640-11</t>
  </si>
  <si>
    <t>296640-11</t>
    <phoneticPr fontId="1" type="noConversion"/>
  </si>
  <si>
    <t>296633-10</t>
    <phoneticPr fontId="1" type="noConversion"/>
  </si>
  <si>
    <t>297309-3</t>
  </si>
  <si>
    <t>88TWDH115</t>
  </si>
  <si>
    <t>89TWDH037</t>
  </si>
  <si>
    <t>88TWDH073</t>
  </si>
  <si>
    <t>정비불가</t>
    <phoneticPr fontId="1" type="noConversion"/>
  </si>
  <si>
    <t>296638-17</t>
  </si>
  <si>
    <t>296636-11</t>
  </si>
  <si>
    <t>시흥</t>
    <phoneticPr fontId="1" type="noConversion"/>
  </si>
  <si>
    <t>정비불가(절연저항불량)</t>
    <phoneticPr fontId="1" type="noConversion"/>
  </si>
  <si>
    <t>정비불가(절연저항양호, 계자만 있음)</t>
    <phoneticPr fontId="1" type="noConversion"/>
  </si>
  <si>
    <t>정기</t>
    <phoneticPr fontId="1" type="noConversion"/>
  </si>
  <si>
    <t>88TWDH073</t>
    <phoneticPr fontId="1" type="noConversion"/>
  </si>
  <si>
    <t>88091-48</t>
    <phoneticPr fontId="1" type="noConversion"/>
  </si>
  <si>
    <t>296638-19</t>
    <phoneticPr fontId="1" type="noConversion"/>
  </si>
  <si>
    <t>296638-17</t>
    <phoneticPr fontId="1" type="noConversion"/>
  </si>
  <si>
    <t>눈유입(절연파괴)</t>
    <phoneticPr fontId="1" type="noConversion"/>
  </si>
  <si>
    <t>현대중공업</t>
    <phoneticPr fontId="1" type="noConversion"/>
  </si>
  <si>
    <t>도시바</t>
    <phoneticPr fontId="1" type="noConversion"/>
  </si>
  <si>
    <t>93TWDH157</t>
    <phoneticPr fontId="1" type="noConversion"/>
  </si>
  <si>
    <t>91092-20</t>
    <phoneticPr fontId="1" type="noConversion"/>
  </si>
  <si>
    <t>대우중공업</t>
    <phoneticPr fontId="1" type="noConversion"/>
  </si>
  <si>
    <t>94101-33</t>
    <phoneticPr fontId="1" type="noConversion"/>
  </si>
  <si>
    <t>91TWDH161</t>
    <phoneticPr fontId="1" type="noConversion"/>
  </si>
  <si>
    <t>1호선 저항차 직류직권전동기 관리전환 현황</t>
    <phoneticPr fontId="1" type="noConversion"/>
  </si>
  <si>
    <t>신정</t>
    <phoneticPr fontId="1" type="noConversion"/>
  </si>
  <si>
    <t>95111-45</t>
    <phoneticPr fontId="1" type="noConversion"/>
  </si>
  <si>
    <t>91092-76</t>
    <phoneticPr fontId="1" type="noConversion"/>
  </si>
  <si>
    <t>-</t>
    <phoneticPr fontId="1" type="noConversion"/>
  </si>
  <si>
    <t>반 입 일</t>
    <phoneticPr fontId="1" type="noConversion"/>
  </si>
  <si>
    <t>반출장소</t>
    <phoneticPr fontId="1" type="noConversion"/>
  </si>
  <si>
    <t>21.4.30.</t>
    <phoneticPr fontId="1" type="noConversion"/>
  </si>
  <si>
    <t>21.7.1.</t>
    <phoneticPr fontId="1" type="noConversion"/>
  </si>
  <si>
    <t>21.7.2.</t>
    <phoneticPr fontId="1" type="noConversion"/>
  </si>
  <si>
    <t>(명판없음)</t>
    <phoneticPr fontId="1" type="noConversion"/>
  </si>
  <si>
    <t>88091-87</t>
  </si>
  <si>
    <t>296637-8</t>
  </si>
  <si>
    <t>미쓰비시</t>
  </si>
  <si>
    <t>89TWDH037</t>
    <phoneticPr fontId="1" type="noConversion"/>
  </si>
  <si>
    <t>88091-67</t>
    <phoneticPr fontId="1" type="noConversion"/>
  </si>
  <si>
    <t>접지 소손</t>
    <phoneticPr fontId="1" type="noConversion"/>
  </si>
  <si>
    <t>88091-55</t>
  </si>
  <si>
    <t>88091-55</t>
    <phoneticPr fontId="1" type="noConversion"/>
  </si>
  <si>
    <t>94101-88</t>
  </si>
  <si>
    <t>94101-88</t>
    <phoneticPr fontId="1" type="noConversion"/>
  </si>
  <si>
    <t>297207-11</t>
    <phoneticPr fontId="1" type="noConversion"/>
  </si>
  <si>
    <t>정비불가(절연파괴)</t>
    <phoneticPr fontId="1" type="noConversion"/>
  </si>
  <si>
    <t>21.9.1</t>
    <phoneticPr fontId="1" type="noConversion"/>
  </si>
  <si>
    <t>현대중전기</t>
    <phoneticPr fontId="1" type="noConversion"/>
  </si>
  <si>
    <t>862214-5</t>
    <phoneticPr fontId="1" type="noConversion"/>
  </si>
  <si>
    <t>95111-04</t>
    <phoneticPr fontId="1" type="noConversion"/>
  </si>
  <si>
    <t>93TWDH150</t>
    <phoneticPr fontId="1" type="noConversion"/>
  </si>
  <si>
    <t>94101-5</t>
    <phoneticPr fontId="1" type="noConversion"/>
  </si>
  <si>
    <t>95111-51</t>
    <phoneticPr fontId="1" type="noConversion"/>
  </si>
  <si>
    <t>95111-07</t>
    <phoneticPr fontId="1" type="noConversion"/>
  </si>
  <si>
    <t>95111-35</t>
    <phoneticPr fontId="1" type="noConversion"/>
  </si>
  <si>
    <t>시흥1차</t>
    <phoneticPr fontId="1" type="noConversion"/>
  </si>
  <si>
    <t>시흥2차</t>
  </si>
  <si>
    <t>고압배선 소손(절연파괴로 폐기)</t>
    <phoneticPr fontId="1" type="noConversion"/>
  </si>
  <si>
    <t>297207-4</t>
    <phoneticPr fontId="1" type="noConversion"/>
  </si>
  <si>
    <t>접지 소손, 정류자 F/O</t>
    <phoneticPr fontId="1" type="noConversion"/>
  </si>
  <si>
    <t>브러시 홀더 호환안됨</t>
    <phoneticPr fontId="1" type="noConversion"/>
  </si>
  <si>
    <t>비고</t>
    <phoneticPr fontId="1" type="noConversion"/>
  </si>
  <si>
    <t xml:space="preserve">94101-88 </t>
    <phoneticPr fontId="1" type="noConversion"/>
  </si>
  <si>
    <t>21.10.28</t>
    <phoneticPr fontId="1" type="noConversion"/>
  </si>
  <si>
    <t>296638-19</t>
  </si>
  <si>
    <t>88091-48</t>
  </si>
  <si>
    <t>98TWDH398</t>
  </si>
  <si>
    <t>절연불량 9M옴</t>
    <phoneticPr fontId="1" type="noConversion"/>
  </si>
  <si>
    <t>홀더 열화, 절연저항 양호</t>
    <phoneticPr fontId="1" type="noConversion"/>
  </si>
  <si>
    <t>비고(취거품 상태)</t>
    <phoneticPr fontId="1" type="noConversion"/>
  </si>
  <si>
    <t>2022.03.10. 현재 기준</t>
    <phoneticPr fontId="1" type="noConversion"/>
  </si>
  <si>
    <t>22.02.23</t>
    <phoneticPr fontId="1" type="noConversion"/>
  </si>
  <si>
    <t>21.07.05</t>
    <phoneticPr fontId="1" type="noConversion"/>
  </si>
  <si>
    <t>88TWDH092</t>
    <phoneticPr fontId="1" type="noConversion"/>
  </si>
  <si>
    <t>111편성 TM사용</t>
  </si>
  <si>
    <t>88TWDH103</t>
  </si>
  <si>
    <t>96TWDH244</t>
  </si>
  <si>
    <t>절연저항 불량</t>
    <phoneticPr fontId="1" type="noConversion"/>
  </si>
  <si>
    <t>97-199</t>
    <phoneticPr fontId="1" type="noConversion"/>
  </si>
  <si>
    <t>062</t>
    <phoneticPr fontId="1" type="noConversion"/>
  </si>
  <si>
    <t>회전자 희미함</t>
    <phoneticPr fontId="1" type="noConversion"/>
  </si>
  <si>
    <t>869782 12</t>
    <phoneticPr fontId="1" type="noConversion"/>
  </si>
  <si>
    <t>862214 5</t>
    <phoneticPr fontId="1" type="noConversion"/>
  </si>
  <si>
    <t>96320398 T404</t>
    <phoneticPr fontId="1" type="noConversion"/>
  </si>
  <si>
    <t>96320410 T403</t>
    <phoneticPr fontId="1" type="noConversion"/>
  </si>
  <si>
    <t>97-787</t>
    <phoneticPr fontId="1" type="noConversion"/>
  </si>
  <si>
    <t>구멍 타원, 각인방향 세로</t>
    <phoneticPr fontId="1" type="noConversion"/>
  </si>
  <si>
    <t>92-53</t>
    <phoneticPr fontId="1" type="noConversion"/>
  </si>
  <si>
    <t>88TWDH099</t>
  </si>
  <si>
    <t>87TWDH043</t>
  </si>
  <si>
    <t>95111-89/1995/대우중공업</t>
    <phoneticPr fontId="1" type="noConversion"/>
  </si>
  <si>
    <t>S07-603</t>
    <phoneticPr fontId="1" type="noConversion"/>
  </si>
  <si>
    <t>현대로템</t>
    <phoneticPr fontId="1" type="noConversion"/>
  </si>
  <si>
    <t>계자 코일 단락</t>
    <phoneticPr fontId="1" type="noConversion"/>
  </si>
  <si>
    <t>S07-403</t>
    <phoneticPr fontId="1" type="noConversion"/>
  </si>
  <si>
    <t>98TSDH280</t>
    <phoneticPr fontId="1" type="noConversion"/>
  </si>
  <si>
    <t>98TSDH282</t>
    <phoneticPr fontId="1" type="noConversion"/>
  </si>
  <si>
    <t>정비불가(절연파괴, 폐기)</t>
    <phoneticPr fontId="1" type="noConversion"/>
  </si>
  <si>
    <t>22.02.21</t>
    <phoneticPr fontId="1" type="noConversion"/>
  </si>
  <si>
    <t>22.03.11</t>
    <phoneticPr fontId="1" type="noConversion"/>
  </si>
  <si>
    <t>21.03.31</t>
    <phoneticPr fontId="1" type="noConversion"/>
  </si>
  <si>
    <t>21.02.09</t>
    <phoneticPr fontId="1" type="noConversion"/>
  </si>
  <si>
    <t>불용판정</t>
    <phoneticPr fontId="1" type="noConversion"/>
  </si>
  <si>
    <t>외주수선 예정</t>
    <phoneticPr fontId="1" type="noConversion"/>
  </si>
  <si>
    <t>정류자 F/O</t>
    <phoneticPr fontId="1" type="noConversion"/>
  </si>
  <si>
    <t>절연파괴</t>
    <phoneticPr fontId="1" type="noConversion"/>
  </si>
  <si>
    <t>98TWDH393</t>
    <phoneticPr fontId="1" type="noConversion"/>
  </si>
  <si>
    <t>MOCD 발생, 상태확인 예정</t>
    <phoneticPr fontId="1" type="noConversion"/>
  </si>
  <si>
    <t>88TWDH113</t>
    <phoneticPr fontId="1" type="noConversion"/>
  </si>
  <si>
    <t>홀더 열화</t>
    <phoneticPr fontId="1" type="noConversion"/>
  </si>
  <si>
    <t>눈유입, 정류자 그을림, 접지 소손</t>
    <phoneticPr fontId="1" type="noConversion"/>
  </si>
  <si>
    <t>접지소손</t>
    <phoneticPr fontId="1" type="noConversion"/>
  </si>
  <si>
    <t>절연파괴, 정류자 F/O</t>
    <phoneticPr fontId="1" type="noConversion"/>
  </si>
  <si>
    <t>브러쉬홀더 리드선 절손 및 열화, 정류자 F/O</t>
    <phoneticPr fontId="1" type="noConversion"/>
  </si>
  <si>
    <t>브러시홀더 리드선 절손 및 열화, 정류자 F/O</t>
    <phoneticPr fontId="1" type="noConversion"/>
  </si>
  <si>
    <t>정비불가(절연파괴), 111편성 TM사용</t>
    <phoneticPr fontId="1" type="noConversion"/>
  </si>
  <si>
    <t>정비불가(정류자면 손상)</t>
    <phoneticPr fontId="1" type="noConversion"/>
  </si>
  <si>
    <t>88091-87</t>
    <phoneticPr fontId="1" type="noConversion"/>
  </si>
  <si>
    <t>예비품 부족으로 111편성 TM사용</t>
    <phoneticPr fontId="1" type="noConversion"/>
  </si>
  <si>
    <t>88091-84</t>
    <phoneticPr fontId="1" type="noConversion"/>
  </si>
  <si>
    <t>92TWDH066</t>
    <phoneticPr fontId="1" type="noConversion"/>
  </si>
  <si>
    <t>88091-93</t>
    <phoneticPr fontId="1" type="noConversion"/>
  </si>
  <si>
    <t>296640-11</t>
    <phoneticPr fontId="1" type="noConversion"/>
  </si>
  <si>
    <t>88TWDH113</t>
  </si>
  <si>
    <t>88091-67</t>
  </si>
  <si>
    <t>116편성 7호차 TM 취거하여 취부</t>
    <phoneticPr fontId="1" type="noConversion"/>
  </si>
  <si>
    <t>88091-59(2위 -&gt; 1위 이동) / 2위 296634-9 취부</t>
    <phoneticPr fontId="1" type="noConversion"/>
  </si>
  <si>
    <t>교체사유(특이사항)</t>
    <phoneticPr fontId="1" type="noConversion"/>
  </si>
  <si>
    <t>취거</t>
    <phoneticPr fontId="1" type="noConversion"/>
  </si>
  <si>
    <t>S07-456</t>
    <phoneticPr fontId="1" type="noConversion"/>
  </si>
  <si>
    <t>현대로템</t>
    <phoneticPr fontId="1" type="noConversion"/>
  </si>
  <si>
    <t>S07-378</t>
    <phoneticPr fontId="1" type="noConversion"/>
  </si>
  <si>
    <t>1711호 3위</t>
    <phoneticPr fontId="1" type="noConversion"/>
  </si>
  <si>
    <t>1711호 4위</t>
    <phoneticPr fontId="1" type="noConversion"/>
  </si>
  <si>
    <t>98TWDH393</t>
  </si>
  <si>
    <t>대우중공업</t>
    <phoneticPr fontId="1" type="noConversion"/>
  </si>
  <si>
    <t>88TWDH092</t>
  </si>
  <si>
    <t>87TWDH047</t>
  </si>
  <si>
    <t>88TWDH115</t>
    <phoneticPr fontId="1" type="noConversion"/>
  </si>
  <si>
    <t>88091-60</t>
  </si>
  <si>
    <t>88091-63</t>
  </si>
  <si>
    <t>296633-14</t>
  </si>
  <si>
    <t>297309-15</t>
  </si>
  <si>
    <t>297207-114</t>
  </si>
  <si>
    <t>296636-13</t>
  </si>
  <si>
    <t>94TWDH002</t>
  </si>
  <si>
    <t>94TWDH001</t>
  </si>
  <si>
    <t>88091-27</t>
  </si>
  <si>
    <t>92TWDH065</t>
  </si>
  <si>
    <t>88091-58</t>
  </si>
  <si>
    <t>88091-79</t>
  </si>
  <si>
    <t>296632-1</t>
  </si>
  <si>
    <t>296634-1</t>
  </si>
  <si>
    <t>88TWDH101</t>
  </si>
  <si>
    <t>89TWDH047</t>
  </si>
  <si>
    <t>92TWDH072</t>
  </si>
  <si>
    <t>88091-56</t>
  </si>
  <si>
    <t>92TWDH054</t>
  </si>
  <si>
    <t>296637-13</t>
  </si>
  <si>
    <t>94TWDH003</t>
  </si>
  <si>
    <t>88TWDH107</t>
  </si>
  <si>
    <t>92TWDH055</t>
  </si>
  <si>
    <t>94TWDH008</t>
  </si>
  <si>
    <t>297310-10</t>
  </si>
  <si>
    <t>95111-04</t>
  </si>
  <si>
    <t>91092-20</t>
  </si>
  <si>
    <t>862214-5</t>
  </si>
  <si>
    <t>93TWDH150</t>
  </si>
  <si>
    <t>94101-5</t>
  </si>
  <si>
    <t>95111-51</t>
  </si>
  <si>
    <t>95111-07</t>
  </si>
  <si>
    <t>95111-35</t>
  </si>
  <si>
    <t>22.05.09</t>
    <phoneticPr fontId="1" type="noConversion"/>
  </si>
  <si>
    <t>22.07.15</t>
    <phoneticPr fontId="1" type="noConversion"/>
  </si>
  <si>
    <t>88TWDH109</t>
  </si>
  <si>
    <t>88TWDH114</t>
  </si>
  <si>
    <t>88TWDH120</t>
  </si>
  <si>
    <t>88TWDH121</t>
  </si>
  <si>
    <t>88TWDH124</t>
  </si>
  <si>
    <t>88TWDH125</t>
  </si>
  <si>
    <t>88TWDH126</t>
  </si>
  <si>
    <t>88TWDH128</t>
  </si>
  <si>
    <t>89TWDH041</t>
  </si>
  <si>
    <t>89TWDH048</t>
  </si>
  <si>
    <t>89TWDH061</t>
  </si>
  <si>
    <t>88091-68</t>
  </si>
  <si>
    <t>88091-70</t>
  </si>
  <si>
    <t>88091-73</t>
  </si>
  <si>
    <t>88091-76</t>
  </si>
  <si>
    <t>88091-78</t>
  </si>
  <si>
    <t>88091-81</t>
  </si>
  <si>
    <t>88091-84</t>
  </si>
  <si>
    <t>88TWDH085</t>
  </si>
  <si>
    <t>88TWDH089</t>
  </si>
  <si>
    <t>88TWDH095</t>
  </si>
  <si>
    <t>88TWDH097</t>
  </si>
  <si>
    <t>88TWDH106</t>
  </si>
  <si>
    <t>94TWDH005</t>
  </si>
  <si>
    <t>94TWDH007</t>
  </si>
  <si>
    <t>94TWDH009</t>
  </si>
  <si>
    <t>95TWDH297</t>
  </si>
  <si>
    <t>96TWDH245</t>
  </si>
  <si>
    <t>96TWDH247</t>
  </si>
  <si>
    <t>96TWDH254</t>
  </si>
  <si>
    <t>98TWDH394</t>
  </si>
  <si>
    <t>89TWDH068</t>
  </si>
  <si>
    <t>89TWDH070</t>
  </si>
  <si>
    <t>92TWDH051</t>
  </si>
  <si>
    <t>92TWDH052</t>
  </si>
  <si>
    <t>92TWDH056</t>
  </si>
  <si>
    <t>92TWDH061</t>
  </si>
  <si>
    <t>92TWDH066</t>
  </si>
  <si>
    <t>92TWDH068</t>
  </si>
  <si>
    <t>92TWDH069</t>
  </si>
  <si>
    <t>92TWDH070</t>
  </si>
  <si>
    <t>92TWDH074</t>
  </si>
  <si>
    <t>296633-9</t>
  </si>
  <si>
    <t>297309-1</t>
  </si>
  <si>
    <t>296634-14</t>
  </si>
  <si>
    <t>296634-16</t>
  </si>
  <si>
    <t>296961-2</t>
  </si>
  <si>
    <t>296641-10</t>
  </si>
  <si>
    <t>296640-7</t>
  </si>
  <si>
    <t>296640-2</t>
  </si>
  <si>
    <t>296640-10</t>
  </si>
  <si>
    <t>296638-20</t>
  </si>
  <si>
    <t>296638-11</t>
  </si>
  <si>
    <t>296635-13</t>
  </si>
  <si>
    <t>296635-17</t>
  </si>
  <si>
    <t>88091-30</t>
  </si>
  <si>
    <t>88091-41</t>
  </si>
  <si>
    <t>88091-44</t>
  </si>
  <si>
    <t>296633-13</t>
  </si>
  <si>
    <t>88091-49</t>
  </si>
  <si>
    <t>88091-50</t>
  </si>
  <si>
    <t>88091-66</t>
  </si>
  <si>
    <t>87TWDH300</t>
  </si>
  <si>
    <t>296633-19</t>
  </si>
  <si>
    <t>87TWDH195</t>
  </si>
  <si>
    <t>87TWDH041</t>
  </si>
  <si>
    <t>95111-89</t>
  </si>
  <si>
    <t>95111-45</t>
  </si>
  <si>
    <t>91092-76</t>
  </si>
  <si>
    <t>91TWDH161</t>
  </si>
  <si>
    <t>91TWDH241</t>
  </si>
  <si>
    <t>297207-4</t>
  </si>
  <si>
    <t>93TWDH157</t>
  </si>
  <si>
    <t>94101-33</t>
  </si>
  <si>
    <t>296636-19</t>
  </si>
  <si>
    <t>296636-18</t>
  </si>
  <si>
    <t>98TWDH397</t>
  </si>
  <si>
    <t>296635-12</t>
  </si>
  <si>
    <t>296639-9</t>
  </si>
  <si>
    <t>96TWDH240</t>
  </si>
  <si>
    <t>92TWDH071</t>
  </si>
  <si>
    <t>88091-47</t>
  </si>
  <si>
    <t>88TWDH019</t>
  </si>
  <si>
    <t>96TWDH241</t>
  </si>
  <si>
    <t>???</t>
  </si>
  <si>
    <t>98TWDH395</t>
  </si>
  <si>
    <t>92TWDH076</t>
  </si>
  <si>
    <t>98TWDH396</t>
  </si>
  <si>
    <t>96TWDH246</t>
  </si>
  <si>
    <t>88091-93</t>
  </si>
  <si>
    <t>불용</t>
    <phoneticPr fontId="1" type="noConversion"/>
  </si>
  <si>
    <t>예비</t>
    <phoneticPr fontId="1" type="noConversion"/>
  </si>
  <si>
    <t>시흥반출</t>
    <phoneticPr fontId="1" type="noConversion"/>
  </si>
  <si>
    <t>시흥반입</t>
    <phoneticPr fontId="1" type="noConversion"/>
  </si>
  <si>
    <t>ㅇ</t>
  </si>
  <si>
    <t>sn</t>
    <phoneticPr fontId="1" type="noConversion"/>
  </si>
  <si>
    <t>98TWDH392</t>
    <phoneticPr fontId="1" type="noConversion"/>
  </si>
  <si>
    <t>실제 취부위치</t>
    <phoneticPr fontId="1" type="noConversion"/>
  </si>
  <si>
    <t>96TWDH243</t>
    <phoneticPr fontId="1" type="noConversion"/>
  </si>
  <si>
    <t>98TWDH391</t>
    <phoneticPr fontId="1" type="noConversion"/>
  </si>
  <si>
    <t>전산매칭</t>
    <phoneticPr fontId="1" type="noConversion"/>
  </si>
  <si>
    <t>취거</t>
    <phoneticPr fontId="1" type="noConversion"/>
  </si>
  <si>
    <t>전산취부위치</t>
    <phoneticPr fontId="1" type="noConversion"/>
  </si>
  <si>
    <t>92TWDH075</t>
    <phoneticPr fontId="1" type="noConversion"/>
  </si>
  <si>
    <t>96TWDH242</t>
    <phoneticPr fontId="1" type="noConversion"/>
  </si>
  <si>
    <t>96TWDH239</t>
    <phoneticPr fontId="1" type="noConversion"/>
  </si>
  <si>
    <t>94TWDH006</t>
    <phoneticPr fontId="1" type="noConversion"/>
  </si>
  <si>
    <t>296638-10</t>
    <phoneticPr fontId="1" type="noConversion"/>
  </si>
  <si>
    <t>94TWDH008</t>
    <phoneticPr fontId="1" type="noConversion"/>
  </si>
  <si>
    <t>94TWDH002</t>
    <phoneticPr fontId="1" type="noConversion"/>
  </si>
  <si>
    <t>297309-3</t>
    <phoneticPr fontId="1" type="noConversion"/>
  </si>
  <si>
    <t>296636-11</t>
    <phoneticPr fontId="1" type="noConversion"/>
  </si>
  <si>
    <t>19.03.12</t>
    <phoneticPr fontId="1" type="noConversion"/>
  </si>
  <si>
    <t>16.11.14</t>
    <phoneticPr fontId="1" type="noConversion"/>
  </si>
  <si>
    <t>15.09.16</t>
    <phoneticPr fontId="1" type="noConversion"/>
  </si>
  <si>
    <t>19.07.29</t>
    <phoneticPr fontId="1" type="noConversion"/>
  </si>
  <si>
    <r>
      <t xml:space="preserve">절연저항 불량, </t>
    </r>
    <r>
      <rPr>
        <sz val="11"/>
        <color rgb="FFFF0000"/>
        <rFont val="돋움"/>
        <family val="3"/>
        <charset val="129"/>
      </rPr>
      <t>계자 F/O</t>
    </r>
    <phoneticPr fontId="1" type="noConversion"/>
  </si>
  <si>
    <t>정비불가(계자절연파괴)</t>
    <phoneticPr fontId="1" type="noConversion"/>
  </si>
  <si>
    <t>수선연번</t>
    <phoneticPr fontId="1" type="noConversion"/>
  </si>
  <si>
    <t>3, 4TM을 1, 2TM으로 이동</t>
    <phoneticPr fontId="1" type="noConversion"/>
  </si>
  <si>
    <t>3, 4TM에 수선품 취부</t>
    <phoneticPr fontId="1" type="noConversion"/>
  </si>
  <si>
    <t>98TWDH395</t>
    <phoneticPr fontId="1" type="noConversion"/>
  </si>
  <si>
    <t>현대중공업</t>
    <phoneticPr fontId="1" type="noConversion"/>
  </si>
  <si>
    <t>95111-35</t>
    <phoneticPr fontId="1" type="noConversion"/>
  </si>
  <si>
    <t>95111-51</t>
    <phoneticPr fontId="1" type="noConversion"/>
  </si>
  <si>
    <t>대우중공업</t>
    <phoneticPr fontId="1" type="noConversion"/>
  </si>
  <si>
    <t>92TWDH076</t>
    <phoneticPr fontId="1" type="noConversion"/>
  </si>
  <si>
    <t>현대중공업</t>
    <phoneticPr fontId="1" type="noConversion"/>
  </si>
  <si>
    <t>98TWDH395</t>
    <phoneticPr fontId="1" type="noConversion"/>
  </si>
  <si>
    <t>정류자 F/O, 브러쉬 절손(2, 4위)</t>
    <phoneticPr fontId="1" type="noConversion"/>
  </si>
  <si>
    <t>브러쉬홀더 절손(상부 좌측)</t>
    <phoneticPr fontId="1" type="noConversion"/>
  </si>
  <si>
    <t>296633-9</t>
    <phoneticPr fontId="1" type="noConversion"/>
  </si>
  <si>
    <t>히타치</t>
    <phoneticPr fontId="1" type="noConversion"/>
  </si>
  <si>
    <t>1816호 4위</t>
    <phoneticPr fontId="1" type="noConversion"/>
  </si>
  <si>
    <t>1711호 2위</t>
    <phoneticPr fontId="1" type="noConversion"/>
  </si>
  <si>
    <t>1711호 1위</t>
    <phoneticPr fontId="1" type="noConversion"/>
  </si>
  <si>
    <t>1-7</t>
    <phoneticPr fontId="1" type="noConversion"/>
  </si>
  <si>
    <t>1-9</t>
    <phoneticPr fontId="1" type="noConversion"/>
  </si>
  <si>
    <t>1-10</t>
    <phoneticPr fontId="1" type="noConversion"/>
  </si>
  <si>
    <t>1-5</t>
    <phoneticPr fontId="1" type="noConversion"/>
  </si>
  <si>
    <t>1-4</t>
    <phoneticPr fontId="1" type="noConversion"/>
  </si>
  <si>
    <t>1-6</t>
    <phoneticPr fontId="1" type="noConversion"/>
  </si>
  <si>
    <t>1-8</t>
    <phoneticPr fontId="1" type="noConversion"/>
  </si>
  <si>
    <t>1-2</t>
    <phoneticPr fontId="1" type="noConversion"/>
  </si>
  <si>
    <t>1-3</t>
    <phoneticPr fontId="1" type="noConversion"/>
  </si>
  <si>
    <t>1-1</t>
    <phoneticPr fontId="1" type="noConversion"/>
  </si>
  <si>
    <t>월상 11/18 시행</t>
    <phoneticPr fontId="1" type="noConversion"/>
  </si>
  <si>
    <t>불용완료[군자차-6545(2022.09.01.)]</t>
    <phoneticPr fontId="1" type="noConversion"/>
  </si>
  <si>
    <t>70년대</t>
    <phoneticPr fontId="1" type="noConversion"/>
  </si>
  <si>
    <t>80년대</t>
    <phoneticPr fontId="1" type="noConversion"/>
  </si>
  <si>
    <t>90년대</t>
    <phoneticPr fontId="1" type="noConversion"/>
  </si>
  <si>
    <t>계</t>
    <phoneticPr fontId="1" type="noConversion"/>
  </si>
  <si>
    <t>접지 소손, 정류자 F/O, 물유입</t>
    <phoneticPr fontId="1" type="noConversion"/>
  </si>
  <si>
    <t>중정비 시 교체(정기조)</t>
    <phoneticPr fontId="1" type="noConversion"/>
  </si>
  <si>
    <t>중정비 시 교체(정기조)</t>
    <phoneticPr fontId="1" type="noConversion"/>
  </si>
  <si>
    <t>브러쉬홀더 열화</t>
    <phoneticPr fontId="1" type="noConversion"/>
  </si>
  <si>
    <t>브러쉬홀더 절손 및 용융 RH(-)</t>
    <phoneticPr fontId="1" type="noConversion"/>
  </si>
  <si>
    <t>브러쉬홀더 절손 및 용융 LH(+)</t>
    <phoneticPr fontId="1" type="noConversion"/>
  </si>
  <si>
    <t>정기</t>
    <phoneticPr fontId="1" type="noConversion"/>
  </si>
  <si>
    <t>5(2DV)</t>
    <phoneticPr fontId="1" type="noConversion"/>
  </si>
  <si>
    <t>9(2DV)</t>
    <phoneticPr fontId="1" type="noConversion"/>
  </si>
  <si>
    <t>296638-10</t>
  </si>
  <si>
    <t>파워시험 시 1호차 TM F/O</t>
    <phoneticPr fontId="1" type="noConversion"/>
  </si>
  <si>
    <t>정류자면 전마모, 브러쉬홀더 파손</t>
    <phoneticPr fontId="1" type="noConversion"/>
  </si>
  <si>
    <t>1515호 2위</t>
    <phoneticPr fontId="1" type="noConversion"/>
  </si>
  <si>
    <t>6(1ADV)</t>
    <phoneticPr fontId="1" type="noConversion"/>
  </si>
  <si>
    <t>94101-88</t>
    <phoneticPr fontId="1" type="noConversion"/>
  </si>
  <si>
    <t>98TWDH394 계자 손상흔적, 정비불가(외부업체 문의)</t>
    <phoneticPr fontId="1" type="noConversion"/>
  </si>
  <si>
    <t>계자 보극선 단락, 외주정비 필요</t>
    <phoneticPr fontId="1" type="noConversion"/>
  </si>
  <si>
    <t>계자 코일 단락, 정비불가</t>
    <phoneticPr fontId="1" type="noConversion"/>
  </si>
  <si>
    <t>1114호 1위</t>
    <phoneticPr fontId="1" type="noConversion"/>
  </si>
  <si>
    <t>1114호 2위</t>
    <phoneticPr fontId="1" type="noConversion"/>
  </si>
  <si>
    <t>1213호 2위</t>
    <phoneticPr fontId="1" type="noConversion"/>
  </si>
  <si>
    <t>22년 LH</t>
    <phoneticPr fontId="1" type="noConversion"/>
  </si>
  <si>
    <t>96TWDH241</t>
    <phoneticPr fontId="1" type="noConversion"/>
  </si>
  <si>
    <t>현대중공업</t>
    <phoneticPr fontId="1" type="noConversion"/>
  </si>
  <si>
    <t>xx년 LH</t>
    <phoneticPr fontId="1" type="noConversion"/>
  </si>
  <si>
    <t>2010.06.25</t>
    <phoneticPr fontId="1" type="noConversion"/>
  </si>
  <si>
    <t>2011.08.22</t>
    <phoneticPr fontId="1" type="noConversion"/>
  </si>
  <si>
    <t>2013.06.04</t>
    <phoneticPr fontId="1" type="noConversion"/>
  </si>
  <si>
    <t>2014.06.11</t>
    <phoneticPr fontId="1" type="noConversion"/>
  </si>
  <si>
    <t>2015.07.16</t>
    <phoneticPr fontId="1" type="noConversion"/>
  </si>
  <si>
    <t>2019.11.19</t>
    <phoneticPr fontId="1" type="noConversion"/>
  </si>
  <si>
    <t>2020.07.17</t>
    <phoneticPr fontId="1" type="noConversion"/>
  </si>
  <si>
    <t>L</t>
    <phoneticPr fontId="1" type="noConversion"/>
  </si>
  <si>
    <t>R</t>
    <phoneticPr fontId="1" type="noConversion"/>
  </si>
  <si>
    <t>2010.11.01</t>
    <phoneticPr fontId="1" type="noConversion"/>
  </si>
  <si>
    <t>2013.01.17</t>
    <phoneticPr fontId="1" type="noConversion"/>
  </si>
  <si>
    <t>2021.06.15</t>
    <phoneticPr fontId="1" type="noConversion"/>
  </si>
  <si>
    <t>2021.11.02</t>
    <phoneticPr fontId="1" type="noConversion"/>
  </si>
  <si>
    <t>2022.03.10</t>
    <phoneticPr fontId="1" type="noConversion"/>
  </si>
  <si>
    <t>2022.08.24</t>
    <phoneticPr fontId="1" type="noConversion"/>
  </si>
  <si>
    <t>2022.11.17</t>
    <phoneticPr fontId="1" type="noConversion"/>
  </si>
  <si>
    <t>2022.12.05</t>
    <phoneticPr fontId="1" type="noConversion"/>
  </si>
  <si>
    <t>2023.02.06</t>
    <phoneticPr fontId="1" type="noConversion"/>
  </si>
  <si>
    <t>88091-30</t>
    <phoneticPr fontId="1" type="noConversion"/>
  </si>
  <si>
    <t xml:space="preserve">88091-73 </t>
    <phoneticPr fontId="1" type="noConversion"/>
  </si>
  <si>
    <t>296633-9</t>
    <phoneticPr fontId="1" type="noConversion"/>
  </si>
  <si>
    <t>xx년 RH(범아)</t>
    <phoneticPr fontId="1" type="noConversion"/>
  </si>
  <si>
    <t>94TWDH006</t>
  </si>
  <si>
    <t>절연저항 불량(약 5메가옴), 상태점검 차 교환</t>
    <phoneticPr fontId="1" type="noConversion"/>
  </si>
  <si>
    <t>22.12.01</t>
    <phoneticPr fontId="1" type="noConversion"/>
  </si>
  <si>
    <t>296632-1</t>
    <phoneticPr fontId="1" type="noConversion"/>
  </si>
  <si>
    <t>22.12.26</t>
    <phoneticPr fontId="1" type="noConversion"/>
  </si>
  <si>
    <t>98TWDH394</t>
    <phoneticPr fontId="1" type="noConversion"/>
  </si>
  <si>
    <t>ERP</t>
    <phoneticPr fontId="1" type="noConversion"/>
  </si>
  <si>
    <t>차량관리시스템</t>
    <phoneticPr fontId="1" type="noConversion"/>
  </si>
  <si>
    <t>??</t>
    <phoneticPr fontId="1" type="noConversion"/>
  </si>
  <si>
    <t>23.03.20</t>
    <phoneticPr fontId="1" type="noConversion"/>
  </si>
  <si>
    <t>97-91</t>
    <phoneticPr fontId="1" type="noConversion"/>
  </si>
  <si>
    <t>2-1</t>
    <phoneticPr fontId="1" type="noConversion"/>
  </si>
  <si>
    <t>2-2</t>
    <phoneticPr fontId="1" type="noConversion"/>
  </si>
  <si>
    <t>95-221</t>
    <phoneticPr fontId="1" type="noConversion"/>
  </si>
  <si>
    <t>2-3</t>
    <phoneticPr fontId="1" type="noConversion"/>
  </si>
  <si>
    <t>92-115</t>
    <phoneticPr fontId="1" type="noConversion"/>
  </si>
  <si>
    <t>2-4</t>
    <phoneticPr fontId="1" type="noConversion"/>
  </si>
  <si>
    <t>2-5</t>
    <phoneticPr fontId="1" type="noConversion"/>
  </si>
  <si>
    <t>2-6</t>
    <phoneticPr fontId="1" type="noConversion"/>
  </si>
  <si>
    <t>2-7</t>
    <phoneticPr fontId="1" type="noConversion"/>
  </si>
  <si>
    <t>2-8</t>
    <phoneticPr fontId="1" type="noConversion"/>
  </si>
  <si>
    <t>2-9</t>
    <phoneticPr fontId="1" type="noConversion"/>
  </si>
  <si>
    <t>91-51</t>
    <phoneticPr fontId="1" type="noConversion"/>
  </si>
  <si>
    <t>2-10</t>
    <phoneticPr fontId="1" type="noConversion"/>
  </si>
  <si>
    <t>2-11</t>
    <phoneticPr fontId="1" type="noConversion"/>
  </si>
  <si>
    <t>계자 대체품 사용(구형브러쉬 부족)</t>
    <phoneticPr fontId="1" type="noConversion"/>
  </si>
  <si>
    <t>2-12</t>
    <phoneticPr fontId="1" type="noConversion"/>
  </si>
  <si>
    <t>53-85-13</t>
    <phoneticPr fontId="1" type="noConversion"/>
  </si>
  <si>
    <t>8E-120-29</t>
    <phoneticPr fontId="1" type="noConversion"/>
  </si>
  <si>
    <t>98-56(93156)</t>
    <phoneticPr fontId="1" type="noConversion"/>
  </si>
  <si>
    <t>91-78(81-78)</t>
    <phoneticPr fontId="1" type="noConversion"/>
  </si>
  <si>
    <t>93-126(931128)</t>
    <phoneticPr fontId="1" type="noConversion"/>
  </si>
  <si>
    <t>회전자(현장조사)</t>
    <phoneticPr fontId="1" type="noConversion"/>
  </si>
  <si>
    <t>회전자+냉각팬 공회전</t>
  </si>
  <si>
    <t xml:space="preserve">  </t>
    <phoneticPr fontId="1" type="noConversion"/>
  </si>
  <si>
    <t>xx년 LH(우리)</t>
    <phoneticPr fontId="1" type="noConversion"/>
  </si>
  <si>
    <t>정류자 손상 사용불가</t>
    <phoneticPr fontId="1" type="noConversion"/>
  </si>
  <si>
    <t>이상x</t>
    <phoneticPr fontId="1" type="noConversion"/>
  </si>
  <si>
    <t>88091-66</t>
    <phoneticPr fontId="1" type="noConversion"/>
  </si>
  <si>
    <t>21년도</t>
    <phoneticPr fontId="1" type="noConversion"/>
  </si>
  <si>
    <t>22년도</t>
    <phoneticPr fontId="1" type="noConversion"/>
  </si>
  <si>
    <t>정기</t>
    <phoneticPr fontId="1" type="noConversion"/>
  </si>
  <si>
    <t>94TWDH244</t>
    <phoneticPr fontId="1" type="noConversion"/>
  </si>
  <si>
    <t>95111-89</t>
    <phoneticPr fontId="1" type="noConversion"/>
  </si>
  <si>
    <t>2023.03.27</t>
    <phoneticPr fontId="1" type="noConversion"/>
  </si>
  <si>
    <t>2023.06.29</t>
    <phoneticPr fontId="1" type="noConversion"/>
  </si>
  <si>
    <t>이동유형 261(오더에의한 청구)_현장물품정산자료</t>
    <phoneticPr fontId="1" type="noConversion"/>
  </si>
  <si>
    <t>20년도</t>
    <phoneticPr fontId="1" type="noConversion"/>
  </si>
  <si>
    <t>19년도</t>
    <phoneticPr fontId="1" type="noConversion"/>
  </si>
  <si>
    <t>18년도</t>
    <phoneticPr fontId="1" type="noConversion"/>
  </si>
  <si>
    <t>17년도</t>
    <phoneticPr fontId="1" type="noConversion"/>
  </si>
  <si>
    <t>16년도</t>
    <phoneticPr fontId="1" type="noConversion"/>
  </si>
  <si>
    <t>LR</t>
    <phoneticPr fontId="1" type="noConversion"/>
  </si>
  <si>
    <t>10년도</t>
    <phoneticPr fontId="1" type="noConversion"/>
  </si>
  <si>
    <t>11년도</t>
    <phoneticPr fontId="1" type="noConversion"/>
  </si>
  <si>
    <t>13년도</t>
    <phoneticPr fontId="1" type="noConversion"/>
  </si>
  <si>
    <t>14년도</t>
    <phoneticPr fontId="1" type="noConversion"/>
  </si>
  <si>
    <t>15년도</t>
    <phoneticPr fontId="1" type="noConversion"/>
  </si>
  <si>
    <t>23년도</t>
    <phoneticPr fontId="1" type="noConversion"/>
  </si>
  <si>
    <t>xx년 LH(정체모름)</t>
    <phoneticPr fontId="1" type="noConversion"/>
  </si>
  <si>
    <t>1216호 4위</t>
  </si>
  <si>
    <t>1811호 1위</t>
  </si>
  <si>
    <t>수선 대기중</t>
    <phoneticPr fontId="1" type="noConversion"/>
  </si>
  <si>
    <t>1411호 1위</t>
  </si>
  <si>
    <t>1416호 2위</t>
  </si>
  <si>
    <t>1411호 4위</t>
    <phoneticPr fontId="1" type="noConversion"/>
  </si>
  <si>
    <t>1411호 3위</t>
    <phoneticPr fontId="1" type="noConversion"/>
  </si>
  <si>
    <t>1411호 2위</t>
    <phoneticPr fontId="1" type="noConversion"/>
  </si>
  <si>
    <r>
      <t xml:space="preserve">보극선 </t>
    </r>
    <r>
      <rPr>
        <sz val="11"/>
        <color rgb="FFFF0000"/>
        <rFont val="돋움"/>
        <family val="3"/>
        <charset val="129"/>
      </rPr>
      <t>코일단락</t>
    </r>
    <r>
      <rPr>
        <sz val="11"/>
        <color theme="1"/>
        <rFont val="돋움"/>
        <family val="3"/>
        <charset val="129"/>
      </rPr>
      <t>(절연저항 0), 전기자상태양호</t>
    </r>
    <phoneticPr fontId="1" type="noConversion"/>
  </si>
  <si>
    <r>
      <t xml:space="preserve">정류자 절연불량, 전기자 </t>
    </r>
    <r>
      <rPr>
        <sz val="11"/>
        <color rgb="FFFF0000"/>
        <rFont val="돋움"/>
        <family val="3"/>
        <charset val="129"/>
      </rPr>
      <t>코일단락</t>
    </r>
    <r>
      <rPr>
        <sz val="11"/>
        <color theme="1"/>
        <rFont val="돋움"/>
        <family val="3"/>
        <charset val="129"/>
      </rPr>
      <t xml:space="preserve"> </t>
    </r>
    <phoneticPr fontId="1" type="noConversion"/>
  </si>
  <si>
    <r>
      <t xml:space="preserve">정류자 절연불량, 전기자 </t>
    </r>
    <r>
      <rPr>
        <sz val="11"/>
        <color rgb="FFFF0000"/>
        <rFont val="돋움"/>
        <family val="3"/>
        <charset val="129"/>
      </rPr>
      <t xml:space="preserve">코일단락 </t>
    </r>
    <phoneticPr fontId="1" type="noConversion"/>
  </si>
  <si>
    <t>회전자 정류자면 전식(플래시 오버)</t>
    <phoneticPr fontId="1" type="noConversion"/>
  </si>
  <si>
    <r>
      <t>계자 보극선</t>
    </r>
    <r>
      <rPr>
        <sz val="11"/>
        <color rgb="FFFF0000"/>
        <rFont val="돋움"/>
        <family val="3"/>
        <charset val="129"/>
      </rPr>
      <t xml:space="preserve"> 코일단락</t>
    </r>
    <phoneticPr fontId="1" type="noConversion"/>
  </si>
  <si>
    <t>98TWDH393</t>
    <phoneticPr fontId="1" type="noConversion"/>
  </si>
  <si>
    <t>98THDH241</t>
    <phoneticPr fontId="1" type="noConversion"/>
  </si>
  <si>
    <t>88091-73</t>
    <phoneticPr fontId="1" type="noConversion"/>
  </si>
  <si>
    <t>전기자</t>
    <phoneticPr fontId="1" type="noConversion"/>
  </si>
  <si>
    <t>고정자</t>
    <phoneticPr fontId="1" type="noConversion"/>
  </si>
  <si>
    <t>88TWDH115</t>
    <phoneticPr fontId="1" type="noConversion"/>
  </si>
  <si>
    <t>23.07.27</t>
    <phoneticPr fontId="1" type="noConversion"/>
  </si>
  <si>
    <t>88091-66</t>
    <phoneticPr fontId="1" type="noConversion"/>
  </si>
  <si>
    <t>23.04.04</t>
    <phoneticPr fontId="1" type="noConversion"/>
  </si>
  <si>
    <t>23.07.03</t>
    <phoneticPr fontId="1" type="noConversion"/>
  </si>
  <si>
    <t>23.02.15.</t>
    <phoneticPr fontId="1" type="noConversion"/>
  </si>
  <si>
    <t>23.05.08</t>
    <phoneticPr fontId="1" type="noConversion"/>
  </si>
  <si>
    <t>23.06.08</t>
    <phoneticPr fontId="1" type="noConversion"/>
  </si>
  <si>
    <t>취부중</t>
    <phoneticPr fontId="1" type="noConversion"/>
  </si>
  <si>
    <t>계자불량으로  296632-1과 조합하여 사용</t>
    <phoneticPr fontId="1" type="noConversion"/>
  </si>
  <si>
    <t>아남</t>
    <phoneticPr fontId="1" type="noConversion"/>
  </si>
  <si>
    <t>??</t>
    <phoneticPr fontId="1" type="noConversion"/>
  </si>
  <si>
    <t>고민중</t>
    <phoneticPr fontId="1" type="noConversion"/>
  </si>
  <si>
    <t>대금용</t>
    <phoneticPr fontId="1" type="noConversion"/>
  </si>
  <si>
    <t>계자불량으로 98TWDH393과 조합하여 사용</t>
    <phoneticPr fontId="1" type="noConversion"/>
  </si>
  <si>
    <t>명전사</t>
    <phoneticPr fontId="1" type="noConversion"/>
  </si>
  <si>
    <t>92TWDH076</t>
    <phoneticPr fontId="1" type="noConversion"/>
  </si>
  <si>
    <t>저장품</t>
    <phoneticPr fontId="1" type="noConversion"/>
  </si>
  <si>
    <t>편조선</t>
    <phoneticPr fontId="1" type="noConversion"/>
  </si>
  <si>
    <t>296635-12</t>
    <phoneticPr fontId="1" type="noConversion"/>
  </si>
  <si>
    <t>92TWDH075</t>
  </si>
  <si>
    <t>3위 홀더측 보극선 절연불량, 임시조치상태</t>
    <phoneticPr fontId="1" type="noConversion"/>
  </si>
  <si>
    <t>1112호 4위</t>
    <phoneticPr fontId="1" type="noConversion"/>
  </si>
  <si>
    <t>2,4위 브러쉬홀더 절손 및 용융 LH(+)</t>
    <phoneticPr fontId="1" type="noConversion"/>
  </si>
  <si>
    <t>22년 RH</t>
    <phoneticPr fontId="1" type="noConversion"/>
  </si>
  <si>
    <t>1호선 저항차 TM 브러쉬홀더 재고량 현황</t>
    <phoneticPr fontId="1" type="noConversion"/>
  </si>
  <si>
    <t>자재명</t>
    <phoneticPr fontId="1" type="noConversion"/>
  </si>
  <si>
    <t>113597 브러쉬홀더 L측</t>
    <phoneticPr fontId="1" type="noConversion"/>
  </si>
  <si>
    <t>113598 브러쉬홀더 R측</t>
    <phoneticPr fontId="1" type="noConversion"/>
  </si>
  <si>
    <t>실재고량</t>
    <phoneticPr fontId="1" type="noConversion"/>
  </si>
  <si>
    <t>신품 보유량</t>
    <phoneticPr fontId="1" type="noConversion"/>
  </si>
  <si>
    <t>하자 처리중</t>
    <phoneticPr fontId="1" type="noConversion"/>
  </si>
  <si>
    <t>AS 수선대기</t>
    <phoneticPr fontId="1" type="noConversion"/>
  </si>
  <si>
    <t>전산재고량</t>
    <phoneticPr fontId="1" type="noConversion"/>
  </si>
  <si>
    <t>이력문제로 검수팀 교환 요청</t>
    <phoneticPr fontId="1" type="noConversion"/>
  </si>
  <si>
    <t>홀더x</t>
    <phoneticPr fontId="1" type="noConversion"/>
  </si>
  <si>
    <t>1,3위 브러쉬홀더 절손 및 용융 RH(-)</t>
    <phoneticPr fontId="1" type="noConversion"/>
  </si>
  <si>
    <t>정류자 F/O, 패임, 홀더양호</t>
    <phoneticPr fontId="1" type="noConversion"/>
  </si>
  <si>
    <t>홀더o</t>
    <phoneticPr fontId="1" type="noConversion"/>
  </si>
  <si>
    <t>1위:xx년 LH 3위:95년</t>
    <phoneticPr fontId="1" type="noConversion"/>
  </si>
  <si>
    <t>습동불량으로 홀더교체</t>
    <phoneticPr fontId="1" type="noConversion"/>
  </si>
  <si>
    <t>1812호 3위</t>
    <phoneticPr fontId="1" type="noConversion"/>
  </si>
  <si>
    <t>(개)</t>
    <phoneticPr fontId="1" type="noConversion"/>
  </si>
  <si>
    <t>※ 중앙테이블 R 3개, L 1개 출처 확인 -&gt; 검수 교체품목</t>
    <phoneticPr fontId="1" type="noConversion"/>
  </si>
  <si>
    <t>월상 9/25 시행(브러쉬홀더 교체)</t>
    <phoneticPr fontId="1" type="noConversion"/>
  </si>
  <si>
    <t>1816호 3위</t>
    <phoneticPr fontId="1" type="noConversion"/>
  </si>
  <si>
    <t>수선일자
(문서시행일)</t>
    <phoneticPr fontId="1" type="noConversion"/>
  </si>
  <si>
    <t>시리얼번호</t>
  </si>
  <si>
    <t>제작년도</t>
  </si>
  <si>
    <t>제조사</t>
  </si>
  <si>
    <t>2023.02.15</t>
    <phoneticPr fontId="1" type="noConversion"/>
  </si>
  <si>
    <t>고정자(편동선, 리드선 교체 및 진공 함침)</t>
    <phoneticPr fontId="1" type="noConversion"/>
  </si>
  <si>
    <t>2023.03.16</t>
    <phoneticPr fontId="1" type="noConversion"/>
  </si>
  <si>
    <t>전기자(편간전압 시험, 삭정, 진공함침, 바란싱)</t>
    <phoneticPr fontId="1" type="noConversion"/>
  </si>
  <si>
    <t>2023.04.04</t>
    <phoneticPr fontId="1" type="noConversion"/>
  </si>
  <si>
    <t>2023.07.03</t>
    <phoneticPr fontId="1" type="noConversion"/>
  </si>
  <si>
    <t>고정자(편동선 교체 및 진공 함침)</t>
    <phoneticPr fontId="1" type="noConversion"/>
  </si>
  <si>
    <t>2023.05.08</t>
    <phoneticPr fontId="1" type="noConversion"/>
  </si>
  <si>
    <t>2023.06.08</t>
    <phoneticPr fontId="1" type="noConversion"/>
  </si>
  <si>
    <t>2023.07.28</t>
    <phoneticPr fontId="1" type="noConversion"/>
  </si>
  <si>
    <t>2023.08.23</t>
    <phoneticPr fontId="1" type="noConversion"/>
  </si>
  <si>
    <t>96TWDH240</t>
    <phoneticPr fontId="1" type="noConversion"/>
  </si>
  <si>
    <t>92TWDH071</t>
    <phoneticPr fontId="1" type="noConversion"/>
  </si>
  <si>
    <t>296639-9</t>
    <phoneticPr fontId="1" type="noConversion"/>
  </si>
  <si>
    <t>'23.10.10</t>
    <phoneticPr fontId="1" type="noConversion"/>
  </si>
  <si>
    <t>검수팀 홀더 취거품 반납</t>
    <phoneticPr fontId="1" type="noConversion"/>
  </si>
  <si>
    <t>사용불가</t>
    <phoneticPr fontId="1" type="noConversion"/>
  </si>
  <si>
    <t>하자처리(21~22)</t>
    <phoneticPr fontId="1" type="noConversion"/>
  </si>
  <si>
    <t>신품(양품)</t>
    <phoneticPr fontId="1" type="noConversion"/>
  </si>
  <si>
    <t>아크(23)</t>
    <phoneticPr fontId="1" type="noConversion"/>
  </si>
  <si>
    <t>보라글씨</t>
    <phoneticPr fontId="1" type="noConversion"/>
  </si>
  <si>
    <t>초록글씨</t>
    <phoneticPr fontId="1" type="noConversion"/>
  </si>
  <si>
    <t>명전사수선</t>
    <phoneticPr fontId="1" type="noConversion"/>
  </si>
  <si>
    <t>아남수선</t>
    <phoneticPr fontId="1" type="noConversion"/>
  </si>
  <si>
    <t>소액</t>
    <phoneticPr fontId="1" type="noConversion"/>
  </si>
  <si>
    <t>계약</t>
    <phoneticPr fontId="1" type="noConversion"/>
  </si>
  <si>
    <t>편간전압양호</t>
    <phoneticPr fontId="1" type="noConversion"/>
  </si>
  <si>
    <t>정비불가(절연파괴), 전기자 외주수선후 296632-1 외주수선 계자로 조립</t>
    <phoneticPr fontId="1" type="noConversion"/>
  </si>
  <si>
    <t>편간전압 테스트한 전기자 위치</t>
    <phoneticPr fontId="1" type="noConversion"/>
  </si>
  <si>
    <t>업체</t>
    <phoneticPr fontId="1" type="noConversion"/>
  </si>
  <si>
    <t>반출일</t>
    <phoneticPr fontId="1" type="noConversion"/>
  </si>
  <si>
    <t>일련번호</t>
    <phoneticPr fontId="1" type="noConversion"/>
  </si>
  <si>
    <t>수선내역</t>
    <phoneticPr fontId="1" type="noConversion"/>
  </si>
  <si>
    <t>현상태</t>
    <phoneticPr fontId="1" type="noConversion"/>
  </si>
  <si>
    <t>위치</t>
    <phoneticPr fontId="1" type="noConversion"/>
  </si>
  <si>
    <t>전기자 수선(함침X)</t>
    <phoneticPr fontId="1" type="noConversion"/>
  </si>
  <si>
    <t>1514호 2위</t>
    <phoneticPr fontId="1" type="noConversion"/>
  </si>
  <si>
    <t>전마모</t>
    <phoneticPr fontId="1" type="noConversion"/>
  </si>
  <si>
    <t>1116호 3위</t>
    <phoneticPr fontId="1" type="noConversion"/>
  </si>
  <si>
    <t>바란싱X</t>
    <phoneticPr fontId="1" type="noConversion"/>
  </si>
  <si>
    <t>전기자 편간전압 불량</t>
    <phoneticPr fontId="1" type="noConversion"/>
  </si>
  <si>
    <t>조립품수선</t>
    <phoneticPr fontId="1" type="noConversion"/>
  </si>
  <si>
    <t>1516호 2위</t>
    <phoneticPr fontId="1" type="noConversion"/>
  </si>
  <si>
    <r>
      <t xml:space="preserve">계자수선, </t>
    </r>
    <r>
      <rPr>
        <sz val="11"/>
        <color rgb="FFFF0000"/>
        <rFont val="맑은 고딕"/>
        <family val="3"/>
        <charset val="129"/>
        <scheme val="minor"/>
      </rPr>
      <t>전기자 편간전압불량</t>
    </r>
    <phoneticPr fontId="1" type="noConversion"/>
  </si>
  <si>
    <t>1414호 4위</t>
    <phoneticPr fontId="1" type="noConversion"/>
  </si>
  <si>
    <t>88091-30 전기자 수선 후 조립</t>
    <phoneticPr fontId="1" type="noConversion"/>
  </si>
  <si>
    <t>전기자 시험</t>
    <phoneticPr fontId="1" type="noConversion"/>
  </si>
  <si>
    <t>취부후단락</t>
    <phoneticPr fontId="1" type="noConversion"/>
  </si>
  <si>
    <t>88092-73</t>
    <phoneticPr fontId="1" type="noConversion"/>
  </si>
  <si>
    <t>1413호 3위</t>
    <phoneticPr fontId="1" type="noConversion"/>
  </si>
  <si>
    <t>1413호 1위</t>
    <phoneticPr fontId="1" type="noConversion"/>
  </si>
  <si>
    <t>전기자 수선</t>
    <phoneticPr fontId="1" type="noConversion"/>
  </si>
  <si>
    <t>창고</t>
    <phoneticPr fontId="1" type="noConversion"/>
  </si>
  <si>
    <t>88TWDH114</t>
    <phoneticPr fontId="1" type="noConversion"/>
  </si>
  <si>
    <t>64052</t>
    <phoneticPr fontId="1" type="noConversion"/>
  </si>
  <si>
    <t>89TWDH041</t>
    <phoneticPr fontId="1" type="noConversion"/>
  </si>
  <si>
    <t>16대 편간전압 시행 &gt; 4대 불량 &gt; 6대 취부중 &gt; 1대 취부 후 단락 &gt; 5대 예비품</t>
    <phoneticPr fontId="1" type="noConversion"/>
  </si>
  <si>
    <t>2위 브러쉬 마모한도 도달, 계자 보극선 손상</t>
    <phoneticPr fontId="1" type="noConversion"/>
  </si>
  <si>
    <t>정류자측 축-볼베어링 헐거움 예비품 교체</t>
    <phoneticPr fontId="1" type="noConversion"/>
  </si>
  <si>
    <t>축 수선중</t>
    <phoneticPr fontId="1" type="noConversion"/>
  </si>
  <si>
    <t>1512호 2위</t>
    <phoneticPr fontId="1" type="noConversion"/>
  </si>
  <si>
    <t>1814호 1위</t>
    <phoneticPr fontId="1" type="noConversion"/>
  </si>
  <si>
    <t>볼베어링 손상으로 속도센서 치형원판 흔들림</t>
    <phoneticPr fontId="1" type="noConversion"/>
  </si>
  <si>
    <t>S07-375</t>
    <phoneticPr fontId="1" type="noConversion"/>
  </si>
  <si>
    <t>로템</t>
    <phoneticPr fontId="1" type="noConversion"/>
  </si>
  <si>
    <t>S07-517</t>
    <phoneticPr fontId="1" type="noConversion"/>
  </si>
  <si>
    <t>실제수선</t>
    <phoneticPr fontId="1" type="noConversion"/>
  </si>
  <si>
    <t>- 296632-1 Assy
- 98TWDH393 Assy</t>
    <phoneticPr fontId="1" type="noConversion"/>
  </si>
  <si>
    <t>- 96TWDH241 Assy
- 88091-73 Assy
- 94TWDH006 전기자(삭정,바란싱)</t>
    <phoneticPr fontId="1" type="noConversion"/>
  </si>
  <si>
    <t>수선내용</t>
  </si>
  <si>
    <t>전기자(편간전압 시험) 5대</t>
    <phoneticPr fontId="1" type="noConversion"/>
  </si>
  <si>
    <t>편동선 구매(저장품)</t>
    <phoneticPr fontId="1" type="noConversion"/>
  </si>
  <si>
    <t>전기자(편간전압, 삭정) 4대</t>
    <phoneticPr fontId="1" type="noConversion"/>
  </si>
  <si>
    <t>- 296635-12 전기자(편간,함침,삭정,바란싱)
- 96TWDH240 전기자(편간,함침,삭정,바란싱)
- 92TWDH071 전기자(편간,함침,삭정,바란싱)
- 296639-9 전기자(편간,함침,삭정,바란싱)
- 88TWDH114 전기자(편간,함침,삭정,바란싱)</t>
    <phoneticPr fontId="1" type="noConversion"/>
  </si>
  <si>
    <t>2023.08.08</t>
    <phoneticPr fontId="1" type="noConversion"/>
  </si>
  <si>
    <t>2023.10.31</t>
    <phoneticPr fontId="1" type="noConversion"/>
  </si>
  <si>
    <t>수선금액</t>
  </si>
  <si>
    <t>ERP 수선내역</t>
    <phoneticPr fontId="1" type="noConversion"/>
  </si>
  <si>
    <t>비 고</t>
    <phoneticPr fontId="1" type="noConversion"/>
  </si>
  <si>
    <t>취부중(88091-30)와 조립</t>
    <phoneticPr fontId="1" type="noConversion"/>
  </si>
  <si>
    <t>2023.11.07</t>
    <phoneticPr fontId="1" type="noConversion"/>
  </si>
  <si>
    <t>해당 예산 및 내역으로</t>
    <phoneticPr fontId="1" type="noConversion"/>
  </si>
  <si>
    <t>실제수선한 내역</t>
    <phoneticPr fontId="1" type="noConversion"/>
  </si>
  <si>
    <t>- 좌동</t>
    <phoneticPr fontId="1" type="noConversion"/>
  </si>
  <si>
    <t>조립 후 예비품 사용가능</t>
    <phoneticPr fontId="1" type="noConversion"/>
  </si>
  <si>
    <t xml:space="preserve">전기자 팬측 중공축 수선(볼베어링 헐거움) </t>
    <phoneticPr fontId="1" type="noConversion"/>
  </si>
  <si>
    <t>주엘 8건</t>
    <phoneticPr fontId="1" type="noConversion"/>
  </si>
  <si>
    <t>명전사 10건</t>
    <phoneticPr fontId="1" type="noConversion"/>
  </si>
  <si>
    <t>1112호 3위</t>
    <phoneticPr fontId="1" type="noConversion"/>
  </si>
  <si>
    <t>23년도 외주수선(집행특례)내역</t>
    <phoneticPr fontId="1" type="noConversion"/>
  </si>
  <si>
    <t>주극선 절연불량, 브러쉬홀더 및 전기자 양호</t>
    <phoneticPr fontId="1" type="noConversion"/>
  </si>
  <si>
    <t>RNE1703-001</t>
    <phoneticPr fontId="1" type="noConversion"/>
  </si>
  <si>
    <t>현대로템</t>
    <phoneticPr fontId="1" type="noConversion"/>
  </si>
  <si>
    <t>정기</t>
    <phoneticPr fontId="1" type="noConversion"/>
  </si>
  <si>
    <t>세이프티 너트 탈락으로 인한 회전자 축 나사산 손상</t>
    <phoneticPr fontId="1" type="noConversion"/>
  </si>
  <si>
    <t>RNE1703-379</t>
    <phoneticPr fontId="1" type="noConversion"/>
  </si>
  <si>
    <t>2,4위 브러쉬홀더 절손 및 용융 LH(+), 계자 및 전기자 단락</t>
    <phoneticPr fontId="1" type="noConversion"/>
  </si>
  <si>
    <t>2위 브러쉬홀더 절손 및 용융 LH(+), 계자 전기자 양호</t>
    <phoneticPr fontId="1" type="noConversion"/>
  </si>
  <si>
    <t>297309-1</t>
    <phoneticPr fontId="1" type="noConversion"/>
  </si>
  <si>
    <t>히타치</t>
    <phoneticPr fontId="1" type="noConversion"/>
  </si>
  <si>
    <t>전기자 및 계자 단락, 사용불가</t>
  </si>
  <si>
    <t>22년 LH</t>
    <phoneticPr fontId="1" type="noConversion"/>
  </si>
  <si>
    <t>경미장애에 따른 예방정비 차원교차</t>
    <phoneticPr fontId="1" type="noConversion"/>
  </si>
  <si>
    <t>22년 RH</t>
    <phoneticPr fontId="1" type="noConversion"/>
  </si>
  <si>
    <t>불용미처리</t>
    <phoneticPr fontId="1" type="noConversion"/>
  </si>
  <si>
    <t>반출일자</t>
    <phoneticPr fontId="1" type="noConversion"/>
  </si>
  <si>
    <t>`24.04.17</t>
    <phoneticPr fontId="1" type="noConversion"/>
  </si>
  <si>
    <t>296636-18</t>
    <phoneticPr fontId="1" type="noConversion"/>
  </si>
  <si>
    <t>94TWDH076</t>
    <phoneticPr fontId="1" type="noConversion"/>
  </si>
  <si>
    <t>수선완료</t>
    <phoneticPr fontId="1" type="noConversion"/>
  </si>
  <si>
    <t>296632-7</t>
    <phoneticPr fontId="1" type="noConversion"/>
  </si>
  <si>
    <t>296635-20</t>
    <phoneticPr fontId="1" type="noConversion"/>
  </si>
  <si>
    <t>히타치</t>
    <phoneticPr fontId="1" type="noConversion"/>
  </si>
  <si>
    <t>296632-5</t>
    <phoneticPr fontId="1" type="noConversion"/>
  </si>
  <si>
    <t>히타치(신정)</t>
    <phoneticPr fontId="1" type="noConversion"/>
  </si>
  <si>
    <t>히타치(신정)</t>
    <phoneticPr fontId="1" type="noConversion"/>
  </si>
  <si>
    <t>대우중공업</t>
    <phoneticPr fontId="1" type="noConversion"/>
  </si>
  <si>
    <t>현대중공업</t>
    <phoneticPr fontId="1" type="noConversion"/>
  </si>
  <si>
    <t>미쓰비시</t>
    <phoneticPr fontId="1" type="noConversion"/>
  </si>
  <si>
    <t>88091-49</t>
    <phoneticPr fontId="1" type="noConversion"/>
  </si>
  <si>
    <t>88TWDH073</t>
    <phoneticPr fontId="1" type="noConversion"/>
  </si>
  <si>
    <t>불용예정</t>
    <phoneticPr fontId="1" type="noConversion"/>
  </si>
  <si>
    <t>297207-11</t>
    <phoneticPr fontId="1" type="noConversion"/>
  </si>
  <si>
    <t>296631-4</t>
    <phoneticPr fontId="1" type="noConversion"/>
  </si>
  <si>
    <t>수선예비품 순환</t>
    <phoneticPr fontId="1" type="noConversion"/>
  </si>
  <si>
    <t>히타치(명진사)</t>
    <phoneticPr fontId="1" type="noConversion"/>
  </si>
  <si>
    <t>296639-9</t>
    <phoneticPr fontId="1" type="noConversion"/>
  </si>
  <si>
    <t>296633-10</t>
    <phoneticPr fontId="1" type="noConversion"/>
  </si>
  <si>
    <t>297909-3</t>
    <phoneticPr fontId="1" type="noConversion"/>
  </si>
  <si>
    <t>96TWDH247</t>
    <phoneticPr fontId="1" type="noConversion"/>
  </si>
  <si>
    <t>`24.09.20</t>
    <phoneticPr fontId="1" type="noConversion"/>
  </si>
  <si>
    <t>88091-68</t>
    <phoneticPr fontId="1" type="noConversion"/>
  </si>
  <si>
    <t>96TWDH006</t>
    <phoneticPr fontId="1" type="noConversion"/>
  </si>
  <si>
    <t>297207-4(2차)</t>
    <phoneticPr fontId="1" type="noConversion"/>
  </si>
  <si>
    <t>브러쉬홀더 절손</t>
    <phoneticPr fontId="1" type="noConversion"/>
  </si>
  <si>
    <t>92TMDH075</t>
    <phoneticPr fontId="1" type="noConversion"/>
  </si>
  <si>
    <t>92TWDH076</t>
    <phoneticPr fontId="1" type="noConversion"/>
  </si>
  <si>
    <t>94TMDH009</t>
    <phoneticPr fontId="1" type="noConversion"/>
  </si>
  <si>
    <t>대우중공업</t>
    <phoneticPr fontId="1" type="noConversion"/>
  </si>
  <si>
    <t>현대중공업</t>
    <phoneticPr fontId="1" type="noConversion"/>
  </si>
  <si>
    <t>히타치</t>
    <phoneticPr fontId="1" type="noConversion"/>
  </si>
  <si>
    <t>히타치(신정)</t>
    <phoneticPr fontId="1" type="noConversion"/>
  </si>
  <si>
    <t>`25.03.14</t>
    <phoneticPr fontId="1" type="noConversion"/>
  </si>
  <si>
    <t>92TWDH061</t>
    <phoneticPr fontId="1" type="noConversion"/>
  </si>
  <si>
    <t>현대중공업</t>
    <phoneticPr fontId="1" type="noConversion"/>
  </si>
  <si>
    <t>88091-76</t>
    <phoneticPr fontId="1" type="noConversion"/>
  </si>
  <si>
    <t>대우중공업</t>
    <phoneticPr fontId="1" type="noConversion"/>
  </si>
  <si>
    <t>정류자면 아크발생</t>
    <phoneticPr fontId="1" type="noConversion"/>
  </si>
  <si>
    <t>92TWDH068</t>
    <phoneticPr fontId="1" type="noConversion"/>
  </si>
  <si>
    <t>수선대기</t>
    <phoneticPr fontId="1" type="noConversion"/>
  </si>
  <si>
    <t>불용 예정</t>
    <phoneticPr fontId="1" type="noConversion"/>
  </si>
  <si>
    <t>절연 불량</t>
    <phoneticPr fontId="1" type="noConversion"/>
  </si>
  <si>
    <t>89TWDH070</t>
    <phoneticPr fontId="1" type="noConversion"/>
  </si>
  <si>
    <t>현대중공업</t>
    <phoneticPr fontId="1" type="noConversion"/>
  </si>
  <si>
    <t>91TWDH161</t>
    <phoneticPr fontId="1" type="noConversion"/>
  </si>
  <si>
    <t>88TWDH121</t>
    <phoneticPr fontId="1" type="noConversion"/>
  </si>
  <si>
    <t>브러쉬홀더 접지, F/O</t>
    <phoneticPr fontId="1" type="noConversion"/>
  </si>
  <si>
    <t>`25.07.14</t>
    <phoneticPr fontId="1" type="noConversion"/>
  </si>
  <si>
    <t>88091-68</t>
    <phoneticPr fontId="1" type="noConversion"/>
  </si>
  <si>
    <t>88091-66</t>
    <phoneticPr fontId="1" type="noConversion"/>
  </si>
  <si>
    <t>88091-50</t>
    <phoneticPr fontId="1" type="noConversion"/>
  </si>
  <si>
    <t>대우중공업</t>
    <phoneticPr fontId="1" type="noConversion"/>
  </si>
  <si>
    <t>296637-4</t>
    <phoneticPr fontId="1" type="noConversion"/>
  </si>
  <si>
    <t>92TWDH161</t>
    <phoneticPr fontId="1" type="noConversion"/>
  </si>
  <si>
    <t>25년 아남 수선</t>
    <phoneticPr fontId="1" type="noConversion"/>
  </si>
  <si>
    <t>계자</t>
    <phoneticPr fontId="1" type="noConversion"/>
  </si>
  <si>
    <t>?</t>
    <phoneticPr fontId="1" type="noConversion"/>
  </si>
  <si>
    <t>현대중공업</t>
    <phoneticPr fontId="1" type="noConversion"/>
  </si>
  <si>
    <t>25년 아남 수선 완료</t>
    <phoneticPr fontId="1" type="noConversion"/>
  </si>
  <si>
    <r>
      <t>9</t>
    </r>
    <r>
      <rPr>
        <sz val="12"/>
        <color rgb="FF000000"/>
        <rFont val="맑은 고딕"/>
        <family val="3"/>
        <charset val="129"/>
      </rPr>
      <t>4</t>
    </r>
    <r>
      <rPr>
        <sz val="12"/>
        <color rgb="FF000000"/>
        <rFont val="신명 태명조"/>
        <family val="3"/>
        <charset val="129"/>
      </rPr>
      <t>TWDH247</t>
    </r>
    <phoneticPr fontId="1" type="noConversion"/>
  </si>
  <si>
    <t>완성품 납품</t>
    <phoneticPr fontId="1" type="noConversion"/>
  </si>
  <si>
    <t>갈색글씨</t>
    <phoneticPr fontId="1" type="noConversion"/>
  </si>
  <si>
    <t>25년 아남수선</t>
    <phoneticPr fontId="1" type="noConversion"/>
  </si>
  <si>
    <t>96TWDH244</t>
    <phoneticPr fontId="1" type="noConversion"/>
  </si>
  <si>
    <t>GR 및 FAULT 점등</t>
    <phoneticPr fontId="1" type="noConversion"/>
  </si>
  <si>
    <t>대우중공업(아남)</t>
    <phoneticPr fontId="1" type="noConversion"/>
  </si>
  <si>
    <t>자체수선 예정</t>
    <phoneticPr fontId="1" type="noConversion"/>
  </si>
  <si>
    <t>브러쉬 흠집 발생</t>
    <phoneticPr fontId="1" type="noConversion"/>
  </si>
  <si>
    <t>96TWDH245</t>
    <phoneticPr fontId="1" type="noConversion"/>
  </si>
  <si>
    <t>GR 점등 및 절연페인트 박리</t>
    <phoneticPr fontId="1" type="noConversion"/>
  </si>
  <si>
    <t>자체 수선 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</si>
</sst>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 val="double"/>
      <sz val="2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6"/>
      <color indexed="81"/>
      <name val="돋움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돋음"/>
      <family val="3"/>
      <charset val="129"/>
    </font>
    <font>
      <b/>
      <sz val="11"/>
      <color rgb="FF7030A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rgb="FF6600FF"/>
      <name val="맑은 고딕"/>
      <family val="3"/>
      <charset val="129"/>
      <scheme val="minor"/>
    </font>
    <font>
      <sz val="11"/>
      <color theme="7" tint="0.59999389629810485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0"/>
      <name val="Arial"/>
      <family val="2"/>
    </font>
    <font>
      <sz val="25"/>
      <color theme="1"/>
      <name val="HY견고딕"/>
      <family val="1"/>
      <charset val="129"/>
    </font>
    <font>
      <sz val="11"/>
      <color theme="1"/>
      <name val="바른돋움 3"/>
      <family val="1"/>
      <charset val="129"/>
    </font>
    <font>
      <sz val="15"/>
      <color theme="1"/>
      <name val="바른돋움 3"/>
      <family val="1"/>
      <charset val="129"/>
    </font>
    <font>
      <sz val="15"/>
      <color theme="1"/>
      <name val="바른돋움 1"/>
      <family val="1"/>
      <charset val="129"/>
    </font>
    <font>
      <b/>
      <sz val="15"/>
      <color rgb="FF0070C0"/>
      <name val="바른돋움 1"/>
      <family val="1"/>
      <charset val="129"/>
    </font>
    <font>
      <b/>
      <sz val="15"/>
      <color rgb="FFFF0000"/>
      <name val="바른돋움 1"/>
      <family val="1"/>
      <charset val="129"/>
    </font>
    <font>
      <b/>
      <i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rgb="FF000000"/>
      <name val="신명 태명조"/>
      <family val="3"/>
      <charset val="129"/>
    </font>
    <font>
      <sz val="11"/>
      <color rgb="FF6600FF"/>
      <name val="맑은 고딕"/>
      <family val="2"/>
      <charset val="129"/>
      <scheme val="minor"/>
    </font>
    <font>
      <sz val="11"/>
      <color rgb="FF6600FF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1"/>
      <color theme="5" tint="-0.249977111117893"/>
      <name val="맑은 고딕"/>
      <family val="3"/>
      <charset val="129"/>
      <scheme val="minor"/>
    </font>
    <font>
      <sz val="11"/>
      <color theme="5" tint="0.3999755851924192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Dashed">
        <color rgb="FFFF0000"/>
      </left>
      <right style="thin">
        <color auto="1"/>
      </right>
      <top style="medium">
        <color auto="1"/>
      </top>
      <bottom/>
      <diagonal/>
    </border>
    <border>
      <left style="mediumDashed">
        <color rgb="FFFF0000"/>
      </left>
      <right style="thin">
        <color auto="1"/>
      </right>
      <top/>
      <bottom style="double">
        <color indexed="64"/>
      </bottom>
      <diagonal/>
    </border>
    <border>
      <left style="mediumDashed">
        <color rgb="FFFF0000"/>
      </left>
      <right style="thin">
        <color auto="1"/>
      </right>
      <top/>
      <bottom/>
      <diagonal/>
    </border>
    <border>
      <left style="mediumDashed">
        <color rgb="FFFF0000"/>
      </left>
      <right style="thin">
        <color auto="1"/>
      </right>
      <top/>
      <bottom style="thin">
        <color auto="1"/>
      </bottom>
      <diagonal/>
    </border>
    <border>
      <left style="mediumDashed">
        <color rgb="FFFF0000"/>
      </left>
      <right style="thin">
        <color auto="1"/>
      </right>
      <top style="thin">
        <color indexed="64"/>
      </top>
      <bottom/>
      <diagonal/>
    </border>
    <border>
      <left style="mediumDashed">
        <color rgb="FFFF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4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7" fillId="0" borderId="0"/>
    <xf numFmtId="41" fontId="10" fillId="0" borderId="0" applyFont="0" applyFill="0" applyBorder="0" applyAlignment="0" applyProtection="0">
      <alignment vertical="center"/>
    </xf>
  </cellStyleXfs>
  <cellXfs count="402">
    <xf numFmtId="0" fontId="0" fillId="0" borderId="0" xfId="0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36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0" xfId="0" applyAlignment="1">
      <alignment vertical="center" shrinkToFit="1"/>
    </xf>
    <xf numFmtId="0" fontId="5" fillId="0" borderId="36" xfId="0" applyFont="1" applyBorder="1" applyAlignment="1">
      <alignment vertical="center" shrinkToFit="1"/>
    </xf>
    <xf numFmtId="0" fontId="0" fillId="0" borderId="45" xfId="0" applyBorder="1" applyAlignment="1">
      <alignment vertical="center" shrinkToFit="1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shrinkToFit="1"/>
    </xf>
    <xf numFmtId="14" fontId="0" fillId="0" borderId="47" xfId="0" applyNumberFormat="1" applyBorder="1" applyAlignment="1">
      <alignment horizontal="center" vertical="center"/>
    </xf>
    <xf numFmtId="14" fontId="0" fillId="0" borderId="48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5" fillId="0" borderId="0" xfId="0" applyFont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40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3" fillId="0" borderId="36" xfId="0" quotePrefix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0" fillId="4" borderId="35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14" fontId="0" fillId="6" borderId="47" xfId="0" applyNumberFormat="1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vertical="center" shrinkToFit="1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1" fillId="0" borderId="2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22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51" xfId="0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5" fillId="0" borderId="53" xfId="0" applyFont="1" applyBorder="1" applyAlignment="1">
      <alignment vertical="center" shrinkToFit="1"/>
    </xf>
    <xf numFmtId="0" fontId="0" fillId="0" borderId="32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0" borderId="33" xfId="0" applyFont="1" applyBorder="1" applyAlignment="1">
      <alignment vertical="center" shrinkToFit="1"/>
    </xf>
    <xf numFmtId="0" fontId="0" fillId="0" borderId="58" xfId="0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0" fontId="0" fillId="6" borderId="59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5" fillId="0" borderId="59" xfId="0" applyFont="1" applyBorder="1" applyAlignment="1">
      <alignment vertical="center" shrinkToFit="1"/>
    </xf>
    <xf numFmtId="0" fontId="3" fillId="0" borderId="39" xfId="0" applyFont="1" applyBorder="1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11" fillId="0" borderId="34" xfId="0" applyFont="1" applyBorder="1" applyAlignment="1">
      <alignment horizontal="left" vertical="center" shrinkToFit="1"/>
    </xf>
    <xf numFmtId="0" fontId="5" fillId="0" borderId="37" xfId="0" applyFont="1" applyBorder="1" applyAlignment="1">
      <alignment horizontal="left" vertical="center" shrinkToFit="1"/>
    </xf>
    <xf numFmtId="0" fontId="9" fillId="0" borderId="37" xfId="0" applyFont="1" applyBorder="1" applyAlignment="1">
      <alignment horizontal="left" vertical="center" shrinkToFit="1"/>
    </xf>
    <xf numFmtId="0" fontId="9" fillId="6" borderId="37" xfId="0" applyFont="1" applyFill="1" applyBorder="1" applyAlignment="1">
      <alignment horizontal="left" vertical="center" shrinkToFit="1"/>
    </xf>
    <xf numFmtId="0" fontId="9" fillId="0" borderId="57" xfId="0" applyFont="1" applyBorder="1" applyAlignment="1">
      <alignment horizontal="left" vertical="center" shrinkToFit="1"/>
    </xf>
    <xf numFmtId="0" fontId="9" fillId="0" borderId="41" xfId="0" applyFont="1" applyBorder="1" applyAlignment="1">
      <alignment horizontal="left" vertical="center" shrinkToFit="1"/>
    </xf>
    <xf numFmtId="0" fontId="0" fillId="0" borderId="43" xfId="0" applyBorder="1" applyAlignment="1">
      <alignment horizontal="left" vertical="center" shrinkToFit="1"/>
    </xf>
    <xf numFmtId="0" fontId="0" fillId="0" borderId="46" xfId="0" applyBorder="1" applyAlignment="1">
      <alignment horizontal="left" vertical="center" shrinkToFit="1"/>
    </xf>
    <xf numFmtId="0" fontId="9" fillId="11" borderId="37" xfId="0" applyFont="1" applyFill="1" applyBorder="1" applyAlignment="1">
      <alignment horizontal="left" vertical="center" shrinkToFit="1"/>
    </xf>
    <xf numFmtId="0" fontId="21" fillId="6" borderId="36" xfId="0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 shrinkToFit="1"/>
    </xf>
    <xf numFmtId="0" fontId="0" fillId="3" borderId="0" xfId="0" applyFill="1">
      <alignment vertical="center"/>
    </xf>
    <xf numFmtId="0" fontId="23" fillId="0" borderId="1" xfId="0" applyFont="1" applyBorder="1" applyAlignment="1">
      <alignment horizontal="center" vertical="center"/>
    </xf>
    <xf numFmtId="0" fontId="3" fillId="0" borderId="40" xfId="0" quotePrefix="1" applyFont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0" fontId="27" fillId="0" borderId="0" xfId="2" applyAlignment="1">
      <alignment horizontal="right"/>
    </xf>
    <xf numFmtId="0" fontId="0" fillId="0" borderId="1" xfId="0" quotePrefix="1" applyBorder="1" applyAlignment="1">
      <alignment horizontal="center"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0" fillId="8" borderId="36" xfId="0" applyFill="1" applyBorder="1" applyAlignment="1">
      <alignment horizontal="center" vertical="center"/>
    </xf>
    <xf numFmtId="0" fontId="0" fillId="8" borderId="53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8" borderId="5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12" borderId="0" xfId="0" applyFont="1" applyFill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right" vertical="center"/>
    </xf>
    <xf numFmtId="0" fontId="31" fillId="9" borderId="62" xfId="0" applyFont="1" applyFill="1" applyBorder="1" applyAlignment="1">
      <alignment horizontal="center" vertical="center"/>
    </xf>
    <xf numFmtId="0" fontId="31" fillId="0" borderId="64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1" fillId="13" borderId="12" xfId="0" applyFont="1" applyFill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31" fillId="9" borderId="6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0" xfId="0" quotePrefix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14" fontId="5" fillId="0" borderId="0" xfId="0" applyNumberFormat="1" applyFo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41" fontId="3" fillId="3" borderId="20" xfId="0" applyNumberFormat="1" applyFont="1" applyFill="1" applyBorder="1" applyAlignment="1">
      <alignment horizontal="center" vertical="center"/>
    </xf>
    <xf numFmtId="0" fontId="0" fillId="3" borderId="23" xfId="0" applyFill="1" applyBorder="1">
      <alignment vertical="center"/>
    </xf>
    <xf numFmtId="0" fontId="3" fillId="3" borderId="22" xfId="0" applyFont="1" applyFill="1" applyBorder="1" applyAlignment="1">
      <alignment horizontal="center" vertical="center"/>
    </xf>
    <xf numFmtId="41" fontId="3" fillId="3" borderId="1" xfId="0" applyNumberFormat="1" applyFont="1" applyFill="1" applyBorder="1" applyAlignment="1">
      <alignment horizontal="center" vertical="center"/>
    </xf>
    <xf numFmtId="0" fontId="0" fillId="3" borderId="21" xfId="0" applyFill="1" applyBorder="1">
      <alignment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0" applyNumberFormat="1" applyFont="1" applyFill="1" applyBorder="1" applyAlignment="1">
      <alignment horizontal="center" vertical="center"/>
    </xf>
    <xf numFmtId="0" fontId="0" fillId="5" borderId="21" xfId="0" applyFill="1" applyBorder="1">
      <alignment vertical="center"/>
    </xf>
    <xf numFmtId="41" fontId="0" fillId="5" borderId="1" xfId="0" applyNumberFormat="1" applyFill="1" applyBorder="1" applyAlignment="1">
      <alignment horizontal="center" vertical="center"/>
    </xf>
    <xf numFmtId="0" fontId="3" fillId="5" borderId="67" xfId="0" applyFont="1" applyFill="1" applyBorder="1">
      <alignment vertical="center"/>
    </xf>
    <xf numFmtId="41" fontId="0" fillId="14" borderId="1" xfId="0" applyNumberFormat="1" applyFill="1" applyBorder="1" applyAlignment="1">
      <alignment horizontal="center" vertical="center"/>
    </xf>
    <xf numFmtId="0" fontId="0" fillId="14" borderId="1" xfId="0" quotePrefix="1" applyFill="1" applyBorder="1" applyAlignment="1">
      <alignment horizontal="center" vertical="center"/>
    </xf>
    <xf numFmtId="0" fontId="0" fillId="14" borderId="21" xfId="0" applyFill="1" applyBorder="1">
      <alignment vertical="center"/>
    </xf>
    <xf numFmtId="0" fontId="3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41" fontId="0" fillId="0" borderId="27" xfId="3" applyFont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41" fontId="0" fillId="8" borderId="30" xfId="0" applyNumberFormat="1" applyFill="1" applyBorder="1" applyAlignment="1">
      <alignment horizontal="center" vertical="center"/>
    </xf>
    <xf numFmtId="0" fontId="0" fillId="8" borderId="30" xfId="0" quotePrefix="1" applyFill="1" applyBorder="1" applyAlignment="1">
      <alignment horizontal="center" vertical="center"/>
    </xf>
    <xf numFmtId="0" fontId="0" fillId="8" borderId="24" xfId="0" applyFill="1" applyBorder="1">
      <alignment vertical="center"/>
    </xf>
    <xf numFmtId="0" fontId="36" fillId="0" borderId="0" xfId="0" applyFont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3" borderId="76" xfId="0" applyFont="1" applyFill="1" applyBorder="1">
      <alignment vertical="center"/>
    </xf>
    <xf numFmtId="0" fontId="3" fillId="3" borderId="67" xfId="0" applyFont="1" applyFill="1" applyBorder="1">
      <alignment vertical="center"/>
    </xf>
    <xf numFmtId="0" fontId="0" fillId="14" borderId="67" xfId="0" applyFill="1" applyBorder="1" applyAlignment="1">
      <alignment horizontal="left" vertical="center"/>
    </xf>
    <xf numFmtId="0" fontId="0" fillId="14" borderId="67" xfId="0" applyFill="1" applyBorder="1">
      <alignment vertical="center"/>
    </xf>
    <xf numFmtId="0" fontId="0" fillId="8" borderId="77" xfId="0" applyFill="1" applyBorder="1">
      <alignment vertical="center"/>
    </xf>
    <xf numFmtId="0" fontId="0" fillId="0" borderId="79" xfId="0" applyBorder="1">
      <alignment vertical="center"/>
    </xf>
    <xf numFmtId="0" fontId="3" fillId="8" borderId="82" xfId="0" quotePrefix="1" applyFont="1" applyFill="1" applyBorder="1" applyAlignment="1">
      <alignment horizontal="left" vertical="center" wrapText="1"/>
    </xf>
    <xf numFmtId="0" fontId="0" fillId="0" borderId="85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5" fillId="0" borderId="87" xfId="0" applyFont="1" applyBorder="1" applyAlignment="1">
      <alignment vertical="center" shrinkToFit="1"/>
    </xf>
    <xf numFmtId="0" fontId="3" fillId="4" borderId="1" xfId="0" applyFont="1" applyFill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7" fillId="0" borderId="1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37" fillId="0" borderId="27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59" xfId="0" applyFont="1" applyFill="1" applyBorder="1" applyAlignment="1">
      <alignment vertical="center" shrinkToFit="1"/>
    </xf>
    <xf numFmtId="0" fontId="17" fillId="0" borderId="1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shrinkToFit="1"/>
    </xf>
    <xf numFmtId="0" fontId="3" fillId="4" borderId="3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shrinkToFit="1"/>
    </xf>
    <xf numFmtId="0" fontId="7" fillId="0" borderId="22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49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 shrinkToFit="1"/>
    </xf>
    <xf numFmtId="0" fontId="3" fillId="4" borderId="2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" fillId="6" borderId="22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6" borderId="26" xfId="0" applyFont="1" applyFill="1" applyBorder="1">
      <alignment vertical="center"/>
    </xf>
    <xf numFmtId="0" fontId="3" fillId="6" borderId="20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8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shrinkToFi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center" shrinkToFit="1"/>
    </xf>
    <xf numFmtId="0" fontId="0" fillId="6" borderId="1" xfId="0" applyFill="1" applyBorder="1" applyAlignment="1">
      <alignment vertical="center" shrinkToFit="1"/>
    </xf>
    <xf numFmtId="0" fontId="0" fillId="4" borderId="22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49" xfId="0" applyFont="1" applyFill="1" applyBorder="1" applyAlignment="1">
      <alignment horizontal="center" vertical="center" shrinkToFit="1"/>
    </xf>
    <xf numFmtId="0" fontId="3" fillId="4" borderId="39" xfId="0" applyFont="1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41" fillId="0" borderId="0" xfId="0" applyFont="1" applyAlignment="1">
      <alignment horizontal="center" vertical="center" shrinkToFit="1"/>
    </xf>
    <xf numFmtId="0" fontId="41" fillId="0" borderId="1" xfId="0" applyFont="1" applyBorder="1" applyAlignment="1">
      <alignment horizontal="center" vertical="center"/>
    </xf>
    <xf numFmtId="0" fontId="0" fillId="6" borderId="40" xfId="0" applyFill="1" applyBorder="1" applyAlignment="1">
      <alignment vertical="center" shrinkToFit="1"/>
    </xf>
    <xf numFmtId="0" fontId="0" fillId="2" borderId="9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shrinkToFit="1"/>
    </xf>
    <xf numFmtId="0" fontId="0" fillId="4" borderId="20" xfId="0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87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shrinkToFit="1"/>
    </xf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shrinkToFit="1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vertical="center" shrinkToFit="1"/>
    </xf>
    <xf numFmtId="0" fontId="0" fillId="6" borderId="1" xfId="0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shrinkToFit="1"/>
    </xf>
    <xf numFmtId="0" fontId="0" fillId="16" borderId="1" xfId="0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 shrinkToFit="1"/>
    </xf>
    <xf numFmtId="0" fontId="41" fillId="0" borderId="21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0" fillId="0" borderId="67" xfId="0" applyBorder="1">
      <alignment vertical="center"/>
    </xf>
    <xf numFmtId="0" fontId="0" fillId="0" borderId="90" xfId="0" applyBorder="1">
      <alignment vertical="center"/>
    </xf>
    <xf numFmtId="0" fontId="0" fillId="0" borderId="49" xfId="0" applyBorder="1">
      <alignment vertical="center"/>
    </xf>
    <xf numFmtId="0" fontId="3" fillId="3" borderId="82" xfId="0" quotePrefix="1" applyFont="1" applyFill="1" applyBorder="1" applyAlignment="1">
      <alignment horizontal="left" vertical="center" wrapText="1"/>
    </xf>
    <xf numFmtId="0" fontId="3" fillId="3" borderId="83" xfId="0" quotePrefix="1" applyFont="1" applyFill="1" applyBorder="1" applyAlignment="1">
      <alignment horizontal="left" vertical="center" wrapText="1"/>
    </xf>
    <xf numFmtId="0" fontId="3" fillId="5" borderId="84" xfId="0" quotePrefix="1" applyFont="1" applyFill="1" applyBorder="1" applyAlignment="1">
      <alignment horizontal="left" vertical="center" wrapText="1"/>
    </xf>
    <xf numFmtId="0" fontId="3" fillId="5" borderId="82" xfId="0" quotePrefix="1" applyFont="1" applyFill="1" applyBorder="1" applyAlignment="1">
      <alignment horizontal="left" vertical="center" wrapText="1"/>
    </xf>
    <xf numFmtId="0" fontId="3" fillId="5" borderId="83" xfId="0" quotePrefix="1" applyFont="1" applyFill="1" applyBorder="1" applyAlignment="1">
      <alignment horizontal="left" vertical="center" wrapText="1"/>
    </xf>
    <xf numFmtId="0" fontId="3" fillId="14" borderId="84" xfId="0" quotePrefix="1" applyFont="1" applyFill="1" applyBorder="1" applyAlignment="1">
      <alignment horizontal="left" vertical="center" wrapText="1"/>
    </xf>
    <xf numFmtId="0" fontId="3" fillId="14" borderId="82" xfId="0" quotePrefix="1" applyFont="1" applyFill="1" applyBorder="1" applyAlignment="1">
      <alignment horizontal="left" vertical="center" wrapText="1"/>
    </xf>
    <xf numFmtId="0" fontId="3" fillId="14" borderId="83" xfId="0" quotePrefix="1" applyFont="1" applyFill="1" applyBorder="1" applyAlignment="1">
      <alignment horizontal="left" vertical="center" wrapText="1"/>
    </xf>
    <xf numFmtId="0" fontId="3" fillId="14" borderId="77" xfId="0" applyFont="1" applyFill="1" applyBorder="1" applyAlignment="1">
      <alignment horizontal="left" vertical="center"/>
    </xf>
    <xf numFmtId="0" fontId="3" fillId="14" borderId="78" xfId="0" applyFont="1" applyFill="1" applyBorder="1" applyAlignment="1">
      <alignment horizontal="left" vertical="center"/>
    </xf>
    <xf numFmtId="0" fontId="3" fillId="14" borderId="76" xfId="0" applyFont="1" applyFill="1" applyBorder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0" borderId="7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9" borderId="60" xfId="0" applyFont="1" applyFill="1" applyBorder="1" applyAlignment="1">
      <alignment horizontal="center" vertical="center"/>
    </xf>
    <xf numFmtId="0" fontId="31" fillId="9" borderId="61" xfId="0" applyFont="1" applyFill="1" applyBorder="1" applyAlignment="1">
      <alignment horizontal="center" vertical="center"/>
    </xf>
    <xf numFmtId="0" fontId="31" fillId="13" borderId="63" xfId="0" applyFont="1" applyFill="1" applyBorder="1" applyAlignment="1">
      <alignment horizontal="center" vertical="center" wrapText="1"/>
    </xf>
    <xf numFmtId="0" fontId="31" fillId="13" borderId="66" xfId="0" applyFont="1" applyFill="1" applyBorder="1" applyAlignment="1">
      <alignment horizontal="center" vertical="center" wrapText="1"/>
    </xf>
    <xf numFmtId="0" fontId="31" fillId="13" borderId="2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6" borderId="38" xfId="0" applyFill="1" applyBorder="1" applyAlignment="1">
      <alignment horizontal="center" vertical="center"/>
    </xf>
    <xf numFmtId="14" fontId="0" fillId="6" borderId="48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5" fillId="0" borderId="96" xfId="0" applyFont="1" applyBorder="1" applyAlignment="1">
      <alignment vertical="center" shrinkToFit="1"/>
    </xf>
    <xf numFmtId="0" fontId="0" fillId="0" borderId="37" xfId="0" applyBorder="1" applyAlignment="1">
      <alignment horizontal="left" vertical="center" shrinkToFit="1"/>
    </xf>
    <xf numFmtId="0" fontId="9" fillId="0" borderId="43" xfId="0" applyFont="1" applyBorder="1" applyAlignment="1">
      <alignment horizontal="left" vertical="center" shrinkToFit="1"/>
    </xf>
    <xf numFmtId="0" fontId="5" fillId="0" borderId="43" xfId="0" applyFont="1" applyBorder="1" applyAlignment="1">
      <alignment horizontal="left" vertical="center" shrinkToFit="1"/>
    </xf>
    <xf numFmtId="0" fontId="0" fillId="0" borderId="54" xfId="0" applyBorder="1" applyAlignment="1">
      <alignment horizontal="left" vertical="center" shrinkToFit="1"/>
    </xf>
    <xf numFmtId="0" fontId="5" fillId="0" borderId="54" xfId="0" applyFont="1" applyBorder="1" applyAlignment="1">
      <alignment horizontal="left" vertical="center" shrinkToFit="1"/>
    </xf>
    <xf numFmtId="0" fontId="9" fillId="0" borderId="37" xfId="0" applyFont="1" applyBorder="1" applyAlignment="1">
      <alignment vertical="center" shrinkToFit="1"/>
    </xf>
    <xf numFmtId="0" fontId="0" fillId="0" borderId="96" xfId="0" applyBorder="1" applyAlignment="1">
      <alignment horizontal="center" vertical="center"/>
    </xf>
    <xf numFmtId="0" fontId="5" fillId="6" borderId="1" xfId="0" applyFont="1" applyFill="1" applyBorder="1" applyAlignment="1">
      <alignment vertical="center" shrinkToFit="1"/>
    </xf>
    <xf numFmtId="0" fontId="0" fillId="0" borderId="41" xfId="0" applyBorder="1" applyAlignment="1">
      <alignment horizontal="left" vertical="center" shrinkToFit="1"/>
    </xf>
    <xf numFmtId="0" fontId="5" fillId="6" borderId="41" xfId="0" applyFont="1" applyFill="1" applyBorder="1" applyAlignment="1">
      <alignment horizontal="left" vertical="center" shrinkToFit="1"/>
    </xf>
    <xf numFmtId="0" fontId="5" fillId="6" borderId="57" xfId="0" applyFont="1" applyFill="1" applyBorder="1" applyAlignment="1">
      <alignment horizontal="left" vertical="center" shrinkToFit="1"/>
    </xf>
    <xf numFmtId="14" fontId="0" fillId="6" borderId="1" xfId="0" applyNumberFormat="1" applyFill="1" applyBorder="1" applyAlignment="1">
      <alignment horizontal="center" vertical="center"/>
    </xf>
    <xf numFmtId="0" fontId="5" fillId="0" borderId="57" xfId="0" applyFont="1" applyBorder="1" applyAlignment="1">
      <alignment horizontal="left" vertical="center" shrinkToFit="1"/>
    </xf>
    <xf numFmtId="0" fontId="5" fillId="0" borderId="34" xfId="0" applyFont="1" applyBorder="1" applyAlignment="1">
      <alignment horizontal="left" vertical="center" shrinkToFit="1"/>
    </xf>
    <xf numFmtId="0" fontId="5" fillId="6" borderId="56" xfId="0" applyFont="1" applyFill="1" applyBorder="1" applyAlignment="1">
      <alignment horizontal="left" vertical="center" shrinkToFit="1"/>
    </xf>
    <xf numFmtId="0" fontId="0" fillId="0" borderId="57" xfId="0" applyBorder="1" applyAlignment="1">
      <alignment horizontal="left" vertical="center" shrinkToFit="1"/>
    </xf>
    <xf numFmtId="0" fontId="0" fillId="0" borderId="56" xfId="0" applyBorder="1" applyAlignment="1">
      <alignment horizontal="left" vertical="center" shrinkToFit="1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vertical="center" shrinkToFit="1"/>
    </xf>
    <xf numFmtId="0" fontId="20" fillId="6" borderId="1" xfId="0" applyFont="1" applyFill="1" applyBorder="1" applyAlignment="1">
      <alignment vertical="center" shrinkToFit="1"/>
    </xf>
    <xf numFmtId="0" fontId="5" fillId="6" borderId="33" xfId="0" applyFont="1" applyFill="1" applyBorder="1" applyAlignment="1">
      <alignment vertical="center" shrinkToFit="1"/>
    </xf>
    <xf numFmtId="0" fontId="5" fillId="0" borderId="56" xfId="0" applyFont="1" applyBorder="1" applyAlignment="1">
      <alignment horizontal="left" vertical="center" shrinkToFit="1"/>
    </xf>
    <xf numFmtId="0" fontId="5" fillId="6" borderId="43" xfId="0" applyFont="1" applyFill="1" applyBorder="1" applyAlignment="1">
      <alignment horizontal="left" vertical="center" shrinkToFit="1"/>
    </xf>
  </cellXfs>
  <cellStyles count="4">
    <cellStyle name="백분율" xfId="1" builtinId="5"/>
    <cellStyle name="쉼표 [0]" xfId="3" builtinId="6"/>
    <cellStyle name="표준" xfId="0" builtinId="0"/>
    <cellStyle name="표준 2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00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연도별 브러쉬홀더 사용</a:t>
            </a:r>
            <a:r>
              <a:rPr lang="en-US" altLang="ko-KR"/>
              <a:t>(</a:t>
            </a:r>
            <a:r>
              <a:rPr lang="ko-KR" altLang="en-US"/>
              <a:t>정산</a:t>
            </a:r>
            <a:r>
              <a:rPr lang="en-US" altLang="ko-KR"/>
              <a:t>)</a:t>
            </a:r>
            <a:r>
              <a:rPr lang="ko-KR" altLang="en-US"/>
              <a:t>내역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홀더정산내역!$N$4:$N$10</c:f>
              <c:strCache>
                <c:ptCount val="7"/>
                <c:pt idx="0">
                  <c:v>16년도</c:v>
                </c:pt>
                <c:pt idx="1">
                  <c:v>17년도</c:v>
                </c:pt>
                <c:pt idx="2">
                  <c:v>18년도</c:v>
                </c:pt>
                <c:pt idx="3">
                  <c:v>19년도</c:v>
                </c:pt>
                <c:pt idx="4">
                  <c:v>20년도</c:v>
                </c:pt>
                <c:pt idx="5">
                  <c:v>21년도</c:v>
                </c:pt>
                <c:pt idx="6">
                  <c:v>22년도</c:v>
                </c:pt>
              </c:strCache>
            </c:strRef>
          </c:cat>
          <c:val>
            <c:numRef>
              <c:f>홀더정산내역!$O$4:$O$10</c:f>
              <c:numCache>
                <c:formatCode>General</c:formatCode>
                <c:ptCount val="7"/>
                <c:pt idx="0">
                  <c:v>5</c:v>
                </c:pt>
                <c:pt idx="1">
                  <c:v>19</c:v>
                </c:pt>
                <c:pt idx="2">
                  <c:v>4</c:v>
                </c:pt>
                <c:pt idx="3">
                  <c:v>48</c:v>
                </c:pt>
                <c:pt idx="4">
                  <c:v>16</c:v>
                </c:pt>
                <c:pt idx="5">
                  <c:v>62</c:v>
                </c:pt>
                <c:pt idx="6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C-4522-9A8C-F4F840296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201952"/>
        <c:axId val="1090201536"/>
      </c:lineChart>
      <c:catAx>
        <c:axId val="10902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0201536"/>
        <c:crosses val="autoZero"/>
        <c:auto val="1"/>
        <c:lblAlgn val="ctr"/>
        <c:lblOffset val="100"/>
        <c:noMultiLvlLbl val="0"/>
      </c:catAx>
      <c:valAx>
        <c:axId val="10902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02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연도별 브러쉬홀더 구매수량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홀더구매내역!$F$2:$F$11</c:f>
              <c:strCache>
                <c:ptCount val="10"/>
                <c:pt idx="0">
                  <c:v>10년도</c:v>
                </c:pt>
                <c:pt idx="1">
                  <c:v>11년도</c:v>
                </c:pt>
                <c:pt idx="2">
                  <c:v>13년도</c:v>
                </c:pt>
                <c:pt idx="3">
                  <c:v>14년도</c:v>
                </c:pt>
                <c:pt idx="4">
                  <c:v>15년도</c:v>
                </c:pt>
                <c:pt idx="5">
                  <c:v>19년도</c:v>
                </c:pt>
                <c:pt idx="6">
                  <c:v>20년도</c:v>
                </c:pt>
                <c:pt idx="7">
                  <c:v>21년도</c:v>
                </c:pt>
                <c:pt idx="8">
                  <c:v>22년도</c:v>
                </c:pt>
                <c:pt idx="9">
                  <c:v>23년도</c:v>
                </c:pt>
              </c:strCache>
            </c:strRef>
          </c:cat>
          <c:val>
            <c:numRef>
              <c:f>홀더구매내역!$G$2:$G$11</c:f>
              <c:numCache>
                <c:formatCode>General</c:formatCode>
                <c:ptCount val="10"/>
                <c:pt idx="0">
                  <c:v>16</c:v>
                </c:pt>
                <c:pt idx="1">
                  <c:v>15</c:v>
                </c:pt>
                <c:pt idx="2">
                  <c:v>26</c:v>
                </c:pt>
                <c:pt idx="3">
                  <c:v>12</c:v>
                </c:pt>
                <c:pt idx="4">
                  <c:v>60</c:v>
                </c:pt>
                <c:pt idx="5">
                  <c:v>40</c:v>
                </c:pt>
                <c:pt idx="6">
                  <c:v>40</c:v>
                </c:pt>
                <c:pt idx="7">
                  <c:v>74</c:v>
                </c:pt>
                <c:pt idx="8">
                  <c:v>141</c:v>
                </c:pt>
                <c:pt idx="9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DB-4EC4-8FFA-3D871BD8F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174848"/>
        <c:axId val="1867182336"/>
      </c:lineChart>
      <c:catAx>
        <c:axId val="18671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7182336"/>
        <c:crosses val="autoZero"/>
        <c:auto val="1"/>
        <c:lblAlgn val="ctr"/>
        <c:lblOffset val="100"/>
        <c:noMultiLvlLbl val="0"/>
      </c:catAx>
      <c:valAx>
        <c:axId val="18671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717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20705</xdr:colOff>
      <xdr:row>12</xdr:row>
      <xdr:rowOff>7454</xdr:rowOff>
    </xdr:from>
    <xdr:to>
      <xdr:col>19</xdr:col>
      <xdr:colOff>467966</xdr:colOff>
      <xdr:row>25</xdr:row>
      <xdr:rowOff>58807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109537</xdr:colOff>
      <xdr:row>1</xdr:row>
      <xdr:rowOff>0</xdr:rowOff>
    </xdr:from>
    <xdr:to>
      <xdr:col>13</xdr:col>
      <xdr:colOff>566737</xdr:colOff>
      <xdr:row>14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I18"/>
  <sheetViews>
    <sheetView tabSelected="1" workbookViewId="0">
      <selection activeCell="G10" sqref="G10"/>
    </sheetView>
  </sheetViews>
  <sheetFormatPr defaultRowHeight="17.399999999999999"/>
  <cols>
    <col min="1" max="1" width="11" bestFit="1" customWidth="1"/>
    <col min="3" max="3" width="12.3984375" style="5" bestFit="1" customWidth="1"/>
    <col min="4" max="4" width="21.5" bestFit="1" customWidth="1"/>
    <col min="5" max="5" width="10" bestFit="1" customWidth="1"/>
    <col min="7" max="7" width="11" bestFit="1" customWidth="1"/>
    <col min="9" max="9" width="10" bestFit="1" customWidth="1"/>
  </cols>
  <sheetData>
    <row r="1" spans="1:9">
      <c r="A1" s="27" t="s">
        <v>9</v>
      </c>
      <c r="B1" s="27" t="s">
        <v>99</v>
      </c>
      <c r="C1" s="27" t="s">
        <v>102</v>
      </c>
      <c r="D1" s="27" t="s">
        <v>100</v>
      </c>
      <c r="E1" s="27" t="s">
        <v>98</v>
      </c>
      <c r="G1" s="27" t="s">
        <v>101</v>
      </c>
      <c r="H1" s="27" t="s">
        <v>99</v>
      </c>
      <c r="I1" s="27" t="s">
        <v>98</v>
      </c>
    </row>
    <row r="2" spans="1:9">
      <c r="A2" s="16">
        <v>1973</v>
      </c>
      <c r="B2" s="16">
        <v>5</v>
      </c>
      <c r="C2" s="16">
        <v>48</v>
      </c>
      <c r="D2" s="317">
        <f>SUM(B2:B5)</f>
        <v>45</v>
      </c>
      <c r="E2" s="320">
        <f>D2/$B$15*100</f>
        <v>29.411764705882355</v>
      </c>
      <c r="G2" s="16" t="s">
        <v>13</v>
      </c>
      <c r="H2" s="16">
        <v>82</v>
      </c>
      <c r="I2" s="28">
        <f>H2/$H$7*100</f>
        <v>53.594771241830067</v>
      </c>
    </row>
    <row r="3" spans="1:9">
      <c r="A3" s="16">
        <v>1974</v>
      </c>
      <c r="B3" s="16">
        <v>27</v>
      </c>
      <c r="C3" s="16">
        <v>47</v>
      </c>
      <c r="D3" s="318"/>
      <c r="E3" s="321"/>
      <c r="G3" s="16" t="s">
        <v>18</v>
      </c>
      <c r="H3" s="16">
        <v>25</v>
      </c>
      <c r="I3" s="28">
        <f>H3/$H$7*100</f>
        <v>16.33986928104575</v>
      </c>
    </row>
    <row r="4" spans="1:9">
      <c r="A4" s="16">
        <v>1975</v>
      </c>
      <c r="B4" s="16">
        <v>1</v>
      </c>
      <c r="C4" s="16">
        <v>46</v>
      </c>
      <c r="D4" s="318"/>
      <c r="E4" s="321"/>
      <c r="G4" s="16" t="s">
        <v>15</v>
      </c>
      <c r="H4" s="16">
        <v>33</v>
      </c>
      <c r="I4" s="28">
        <f>H4/$H$7*100</f>
        <v>21.568627450980394</v>
      </c>
    </row>
    <row r="5" spans="1:9">
      <c r="A5" s="16">
        <v>1977</v>
      </c>
      <c r="B5" s="16">
        <v>12</v>
      </c>
      <c r="C5" s="16">
        <v>44</v>
      </c>
      <c r="D5" s="319"/>
      <c r="E5" s="322"/>
      <c r="G5" s="16" t="s">
        <v>61</v>
      </c>
      <c r="H5" s="16">
        <v>5</v>
      </c>
      <c r="I5" s="28">
        <f>H5/$H$7*100</f>
        <v>3.2679738562091507</v>
      </c>
    </row>
    <row r="6" spans="1:9">
      <c r="A6" s="16">
        <v>1987</v>
      </c>
      <c r="B6" s="16">
        <v>5</v>
      </c>
      <c r="C6" s="16">
        <v>34</v>
      </c>
      <c r="D6" s="317">
        <f>SUM(B6:B8)</f>
        <v>62</v>
      </c>
      <c r="E6" s="320">
        <f>D6/$B$15*100</f>
        <v>40.522875816993462</v>
      </c>
      <c r="G6" s="16" t="s">
        <v>40</v>
      </c>
      <c r="H6" s="16">
        <v>8</v>
      </c>
      <c r="I6" s="28">
        <f>H6/$H$7*100</f>
        <v>5.2287581699346406</v>
      </c>
    </row>
    <row r="7" spans="1:9">
      <c r="A7" s="16">
        <v>1988</v>
      </c>
      <c r="B7" s="16">
        <v>27</v>
      </c>
      <c r="C7" s="16">
        <v>33</v>
      </c>
      <c r="D7" s="318"/>
      <c r="E7" s="321"/>
      <c r="G7" s="16" t="s">
        <v>97</v>
      </c>
      <c r="H7" s="16">
        <f>SUM(H2:H6)</f>
        <v>153</v>
      </c>
      <c r="I7" s="28">
        <f>SUM(I2:I6)</f>
        <v>99.999999999999986</v>
      </c>
    </row>
    <row r="8" spans="1:9">
      <c r="A8" s="16">
        <v>1989</v>
      </c>
      <c r="B8" s="16">
        <v>30</v>
      </c>
      <c r="C8" s="16">
        <v>32</v>
      </c>
      <c r="D8" s="319"/>
      <c r="E8" s="322"/>
    </row>
    <row r="9" spans="1:9">
      <c r="A9" s="16">
        <v>1992</v>
      </c>
      <c r="B9" s="16">
        <v>18</v>
      </c>
      <c r="C9" s="16">
        <v>29</v>
      </c>
      <c r="D9" s="317">
        <f>SUM(B9:B14)</f>
        <v>46</v>
      </c>
      <c r="E9" s="320">
        <f>D9/$B$15*100</f>
        <v>30.065359477124183</v>
      </c>
    </row>
    <row r="10" spans="1:9">
      <c r="A10" s="16">
        <v>1994</v>
      </c>
      <c r="B10" s="16">
        <v>8</v>
      </c>
      <c r="C10" s="16">
        <v>27</v>
      </c>
      <c r="D10" s="318"/>
      <c r="E10" s="321"/>
    </row>
    <row r="11" spans="1:9">
      <c r="A11" s="16">
        <v>1995</v>
      </c>
      <c r="B11" s="16">
        <v>1</v>
      </c>
      <c r="C11" s="16">
        <v>26</v>
      </c>
      <c r="D11" s="318"/>
      <c r="E11" s="321"/>
    </row>
    <row r="12" spans="1:9">
      <c r="A12" s="16">
        <v>1996</v>
      </c>
      <c r="B12" s="16">
        <v>11</v>
      </c>
      <c r="C12" s="16">
        <v>25</v>
      </c>
      <c r="D12" s="318"/>
      <c r="E12" s="321"/>
    </row>
    <row r="13" spans="1:9">
      <c r="A13" s="16">
        <v>1997</v>
      </c>
      <c r="B13" s="16">
        <v>1</v>
      </c>
      <c r="C13" s="16">
        <v>24</v>
      </c>
      <c r="D13" s="318"/>
      <c r="E13" s="321"/>
    </row>
    <row r="14" spans="1:9">
      <c r="A14" s="16">
        <v>1998</v>
      </c>
      <c r="B14" s="16">
        <v>7</v>
      </c>
      <c r="C14" s="16">
        <v>23</v>
      </c>
      <c r="D14" s="319"/>
      <c r="E14" s="322"/>
    </row>
    <row r="15" spans="1:9">
      <c r="A15" s="16" t="s">
        <v>97</v>
      </c>
      <c r="B15" s="16">
        <f>SUM(B2:B14)</f>
        <v>153</v>
      </c>
      <c r="C15" s="16"/>
      <c r="D15" s="16">
        <f>SUM(D2:D14)</f>
        <v>153</v>
      </c>
      <c r="E15" s="28">
        <f>SUM(E2:E14)</f>
        <v>100</v>
      </c>
    </row>
    <row r="16" spans="1:9">
      <c r="B16" s="5"/>
    </row>
    <row r="17" spans="1:2">
      <c r="B17" s="5"/>
    </row>
    <row r="18" spans="1:2" ht="25.2">
      <c r="A18" s="34" t="s">
        <v>134</v>
      </c>
    </row>
  </sheetData>
  <mergeCells count="6">
    <mergeCell ref="D2:D5"/>
    <mergeCell ref="E2:E5"/>
    <mergeCell ref="D6:D8"/>
    <mergeCell ref="E6:E8"/>
    <mergeCell ref="D9:D14"/>
    <mergeCell ref="E9:E1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  <pageSetUpPr fitToPage="1"/>
  </sheetPr>
  <dimension ref="A1:J33"/>
  <sheetViews>
    <sheetView workbookViewId="0">
      <selection activeCell="C26" sqref="C26"/>
    </sheetView>
  </sheetViews>
  <sheetFormatPr defaultRowHeight="17.399999999999999"/>
  <cols>
    <col min="1" max="1" width="9.19921875" style="5" bestFit="1" customWidth="1"/>
    <col min="2" max="2" width="13" style="5" bestFit="1" customWidth="1"/>
    <col min="3" max="3" width="20.59765625" customWidth="1"/>
    <col min="4" max="4" width="11.09765625" customWidth="1"/>
    <col min="5" max="5" width="18.59765625" customWidth="1"/>
    <col min="6" max="6" width="12.3984375" customWidth="1"/>
    <col min="7" max="7" width="11.69921875" customWidth="1"/>
    <col min="8" max="8" width="20.5" style="5" bestFit="1" customWidth="1"/>
    <col min="9" max="9" width="21.3984375" style="70" customWidth="1"/>
    <col min="10" max="10" width="9" style="97"/>
  </cols>
  <sheetData>
    <row r="1" spans="1:10" ht="30">
      <c r="A1" s="323" t="s">
        <v>164</v>
      </c>
      <c r="B1" s="323"/>
      <c r="C1" s="323"/>
      <c r="D1" s="323"/>
      <c r="E1" s="323"/>
      <c r="F1" s="323"/>
      <c r="G1" s="323"/>
      <c r="H1" s="323"/>
      <c r="I1" s="323"/>
    </row>
    <row r="3" spans="1:10">
      <c r="A3" s="27" t="s">
        <v>7</v>
      </c>
      <c r="B3" s="27" t="s">
        <v>96</v>
      </c>
      <c r="C3" s="27" t="s">
        <v>8</v>
      </c>
      <c r="D3" s="27" t="s">
        <v>9</v>
      </c>
      <c r="E3" s="27" t="s">
        <v>10</v>
      </c>
      <c r="F3" s="27" t="s">
        <v>169</v>
      </c>
      <c r="G3" s="27" t="s">
        <v>170</v>
      </c>
      <c r="H3" s="27" t="s">
        <v>546</v>
      </c>
      <c r="I3" s="64" t="s">
        <v>202</v>
      </c>
      <c r="J3" s="96" t="s">
        <v>433</v>
      </c>
    </row>
    <row r="4" spans="1:10">
      <c r="A4" s="16">
        <v>1</v>
      </c>
      <c r="B4" s="16"/>
      <c r="C4" s="26" t="s">
        <v>105</v>
      </c>
      <c r="D4" s="26">
        <v>1974</v>
      </c>
      <c r="E4" s="26" t="s">
        <v>15</v>
      </c>
      <c r="F4" s="26" t="s">
        <v>171</v>
      </c>
      <c r="G4" s="26" t="s">
        <v>165</v>
      </c>
      <c r="H4" s="26" t="s">
        <v>114</v>
      </c>
      <c r="I4" s="65"/>
      <c r="J4" s="98"/>
    </row>
    <row r="5" spans="1:10">
      <c r="A5" s="16">
        <v>2</v>
      </c>
      <c r="B5" s="16"/>
      <c r="C5" s="26" t="s">
        <v>106</v>
      </c>
      <c r="D5" s="26">
        <v>1974</v>
      </c>
      <c r="E5" s="26" t="s">
        <v>15</v>
      </c>
      <c r="F5" s="26" t="s">
        <v>171</v>
      </c>
      <c r="G5" s="26" t="s">
        <v>165</v>
      </c>
      <c r="H5" s="26" t="s">
        <v>115</v>
      </c>
      <c r="I5" s="65"/>
      <c r="J5" s="98"/>
    </row>
    <row r="6" spans="1:10">
      <c r="A6" s="16">
        <v>3</v>
      </c>
      <c r="B6" s="16"/>
      <c r="C6" s="26" t="s">
        <v>107</v>
      </c>
      <c r="D6" s="26">
        <v>1973</v>
      </c>
      <c r="E6" s="26" t="s">
        <v>15</v>
      </c>
      <c r="F6" s="26" t="s">
        <v>171</v>
      </c>
      <c r="G6" s="26" t="s">
        <v>165</v>
      </c>
      <c r="H6" s="26" t="s">
        <v>116</v>
      </c>
      <c r="I6" s="65"/>
      <c r="J6" s="98"/>
    </row>
    <row r="7" spans="1:10">
      <c r="A7" s="16">
        <v>4</v>
      </c>
      <c r="B7" s="16"/>
      <c r="C7" s="26" t="s">
        <v>108</v>
      </c>
      <c r="D7" s="26">
        <v>1974</v>
      </c>
      <c r="E7" s="26" t="s">
        <v>15</v>
      </c>
      <c r="F7" s="26" t="s">
        <v>171</v>
      </c>
      <c r="G7" s="26" t="s">
        <v>165</v>
      </c>
      <c r="H7" s="36" t="s">
        <v>117</v>
      </c>
      <c r="I7" s="65"/>
      <c r="J7" s="98"/>
    </row>
    <row r="8" spans="1:10">
      <c r="A8" s="16">
        <v>5</v>
      </c>
      <c r="B8" s="16"/>
      <c r="C8" s="26" t="s">
        <v>109</v>
      </c>
      <c r="D8" s="26">
        <v>1974</v>
      </c>
      <c r="E8" s="26" t="s">
        <v>15</v>
      </c>
      <c r="F8" s="26" t="s">
        <v>171</v>
      </c>
      <c r="G8" s="26" t="s">
        <v>165</v>
      </c>
      <c r="H8" s="36" t="s">
        <v>111</v>
      </c>
      <c r="I8" s="65"/>
      <c r="J8" s="98"/>
    </row>
    <row r="9" spans="1:10">
      <c r="A9" s="16">
        <v>6</v>
      </c>
      <c r="B9" s="16"/>
      <c r="C9" s="26" t="s">
        <v>110</v>
      </c>
      <c r="D9" s="26">
        <v>1973</v>
      </c>
      <c r="E9" s="26" t="s">
        <v>15</v>
      </c>
      <c r="F9" s="26" t="s">
        <v>171</v>
      </c>
      <c r="G9" s="26" t="s">
        <v>165</v>
      </c>
      <c r="H9" s="36" t="s">
        <v>118</v>
      </c>
      <c r="I9" s="65"/>
      <c r="J9" s="98"/>
    </row>
    <row r="10" spans="1:10">
      <c r="A10" s="16">
        <v>7</v>
      </c>
      <c r="B10" s="16"/>
      <c r="C10" s="26" t="s">
        <v>111</v>
      </c>
      <c r="D10" s="26">
        <v>1974</v>
      </c>
      <c r="E10" s="26" t="s">
        <v>15</v>
      </c>
      <c r="F10" s="26" t="s">
        <v>171</v>
      </c>
      <c r="G10" s="26" t="s">
        <v>165</v>
      </c>
      <c r="H10" s="36" t="s">
        <v>119</v>
      </c>
      <c r="I10" s="65"/>
      <c r="J10" s="98"/>
    </row>
    <row r="11" spans="1:10">
      <c r="A11" s="16">
        <v>8</v>
      </c>
      <c r="B11" s="16"/>
      <c r="C11" s="26" t="s">
        <v>112</v>
      </c>
      <c r="D11" s="26">
        <v>1973</v>
      </c>
      <c r="E11" s="26" t="s">
        <v>15</v>
      </c>
      <c r="F11" s="26" t="s">
        <v>171</v>
      </c>
      <c r="G11" s="26" t="s">
        <v>165</v>
      </c>
      <c r="H11" s="36" t="s">
        <v>120</v>
      </c>
      <c r="I11" s="65"/>
      <c r="J11" s="98"/>
    </row>
    <row r="12" spans="1:10">
      <c r="A12" s="16">
        <v>9</v>
      </c>
      <c r="B12" s="16" t="s">
        <v>574</v>
      </c>
      <c r="C12" s="26" t="s">
        <v>163</v>
      </c>
      <c r="D12" s="26">
        <v>1991</v>
      </c>
      <c r="E12" s="26" t="s">
        <v>157</v>
      </c>
      <c r="F12" s="26" t="s">
        <v>172</v>
      </c>
      <c r="G12" s="26" t="s">
        <v>196</v>
      </c>
      <c r="H12" s="36" t="s">
        <v>536</v>
      </c>
      <c r="I12" s="65"/>
      <c r="J12" s="98" t="s">
        <v>535</v>
      </c>
    </row>
    <row r="13" spans="1:10">
      <c r="A13" s="16">
        <v>10</v>
      </c>
      <c r="B13" s="16" t="s">
        <v>614</v>
      </c>
      <c r="C13" s="26">
        <v>9134584</v>
      </c>
      <c r="D13" s="26">
        <v>1991</v>
      </c>
      <c r="E13" s="26" t="s">
        <v>158</v>
      </c>
      <c r="F13" s="26" t="s">
        <v>172</v>
      </c>
      <c r="G13" s="26" t="s">
        <v>196</v>
      </c>
      <c r="H13" s="36" t="s">
        <v>545</v>
      </c>
      <c r="I13" s="66" t="s">
        <v>201</v>
      </c>
      <c r="J13" s="98" t="s">
        <v>537</v>
      </c>
    </row>
    <row r="14" spans="1:10">
      <c r="A14" s="16">
        <v>11</v>
      </c>
      <c r="B14" s="16" t="s">
        <v>577</v>
      </c>
      <c r="C14" s="26" t="s">
        <v>159</v>
      </c>
      <c r="D14" s="26">
        <v>1993</v>
      </c>
      <c r="E14" s="26" t="s">
        <v>157</v>
      </c>
      <c r="F14" s="26" t="s">
        <v>172</v>
      </c>
      <c r="G14" s="26" t="s">
        <v>196</v>
      </c>
      <c r="H14" s="36" t="s">
        <v>529</v>
      </c>
      <c r="I14" s="66"/>
      <c r="J14" s="98" t="s">
        <v>528</v>
      </c>
    </row>
    <row r="15" spans="1:10">
      <c r="A15" s="16">
        <v>12</v>
      </c>
      <c r="B15" s="16" t="s">
        <v>578</v>
      </c>
      <c r="C15" s="26" t="s">
        <v>45</v>
      </c>
      <c r="D15" s="26">
        <v>1987</v>
      </c>
      <c r="E15" s="26" t="s">
        <v>13</v>
      </c>
      <c r="F15" s="26" t="s">
        <v>172</v>
      </c>
      <c r="G15" s="26" t="s">
        <v>196</v>
      </c>
      <c r="H15" s="36" t="s">
        <v>524</v>
      </c>
      <c r="I15" s="68" t="s">
        <v>539</v>
      </c>
      <c r="J15" s="98" t="s">
        <v>525</v>
      </c>
    </row>
    <row r="16" spans="1:10">
      <c r="A16" s="16">
        <v>13</v>
      </c>
      <c r="B16" s="16" t="s">
        <v>703</v>
      </c>
      <c r="C16" s="26">
        <v>96320368</v>
      </c>
      <c r="D16" s="26">
        <v>1996</v>
      </c>
      <c r="E16" s="26" t="s">
        <v>158</v>
      </c>
      <c r="F16" s="26" t="s">
        <v>172</v>
      </c>
      <c r="G16" s="26" t="s">
        <v>196</v>
      </c>
      <c r="H16" s="36" t="s">
        <v>527</v>
      </c>
      <c r="I16" s="66" t="s">
        <v>201</v>
      </c>
      <c r="J16" s="98" t="s">
        <v>526</v>
      </c>
    </row>
    <row r="17" spans="1:10">
      <c r="A17" s="16">
        <v>14</v>
      </c>
      <c r="B17" s="16" t="s">
        <v>637</v>
      </c>
      <c r="C17" s="26">
        <v>8833358</v>
      </c>
      <c r="D17" s="26">
        <v>1988</v>
      </c>
      <c r="E17" s="26" t="s">
        <v>158</v>
      </c>
      <c r="F17" s="26" t="s">
        <v>172</v>
      </c>
      <c r="G17" s="26" t="s">
        <v>196</v>
      </c>
      <c r="H17" s="138" t="s">
        <v>541</v>
      </c>
      <c r="I17" s="66" t="s">
        <v>201</v>
      </c>
      <c r="J17" s="98" t="s">
        <v>530</v>
      </c>
    </row>
    <row r="18" spans="1:10">
      <c r="A18" s="16">
        <v>15</v>
      </c>
      <c r="B18" s="16" t="s">
        <v>730</v>
      </c>
      <c r="C18" s="26">
        <v>9134504</v>
      </c>
      <c r="D18" s="26">
        <v>1991</v>
      </c>
      <c r="E18" s="26" t="s">
        <v>158</v>
      </c>
      <c r="F18" s="26" t="s">
        <v>172</v>
      </c>
      <c r="G18" s="26" t="s">
        <v>196</v>
      </c>
      <c r="H18" s="36">
        <v>96320311</v>
      </c>
      <c r="I18" s="66" t="s">
        <v>201</v>
      </c>
      <c r="J18" s="98" t="s">
        <v>532</v>
      </c>
    </row>
    <row r="19" spans="1:10">
      <c r="A19" s="29">
        <v>16</v>
      </c>
      <c r="B19" s="29" t="s">
        <v>448</v>
      </c>
      <c r="C19" s="33" t="s">
        <v>160</v>
      </c>
      <c r="D19" s="33">
        <v>1991</v>
      </c>
      <c r="E19" s="33" t="s">
        <v>161</v>
      </c>
      <c r="F19" s="33" t="s">
        <v>172</v>
      </c>
      <c r="G19" s="33" t="s">
        <v>196</v>
      </c>
      <c r="H19" s="61" t="s">
        <v>222</v>
      </c>
      <c r="I19" s="67"/>
      <c r="J19" s="99" t="s">
        <v>451</v>
      </c>
    </row>
    <row r="20" spans="1:10">
      <c r="A20" s="29">
        <v>17</v>
      </c>
      <c r="B20" s="29" t="s">
        <v>273</v>
      </c>
      <c r="C20" s="33" t="s">
        <v>162</v>
      </c>
      <c r="D20" s="33">
        <v>1994</v>
      </c>
      <c r="E20" s="33" t="s">
        <v>161</v>
      </c>
      <c r="F20" s="33" t="s">
        <v>172</v>
      </c>
      <c r="G20" s="33" t="s">
        <v>196</v>
      </c>
      <c r="H20" s="61" t="s">
        <v>224</v>
      </c>
      <c r="I20" s="67"/>
      <c r="J20" s="98" t="s">
        <v>452</v>
      </c>
    </row>
    <row r="21" spans="1:10">
      <c r="A21" s="16">
        <v>18</v>
      </c>
      <c r="B21" s="147" t="s">
        <v>579</v>
      </c>
      <c r="C21" s="26" t="s">
        <v>556</v>
      </c>
      <c r="D21" s="26">
        <v>1991</v>
      </c>
      <c r="E21" s="26" t="s">
        <v>157</v>
      </c>
      <c r="F21" s="26" t="s">
        <v>172</v>
      </c>
      <c r="G21" s="26" t="s">
        <v>196</v>
      </c>
      <c r="H21" s="36" t="s">
        <v>543</v>
      </c>
      <c r="I21" s="66"/>
      <c r="J21" s="98" t="s">
        <v>533</v>
      </c>
    </row>
    <row r="22" spans="1:10">
      <c r="A22" s="29">
        <v>19</v>
      </c>
      <c r="B22" s="29" t="s">
        <v>274</v>
      </c>
      <c r="C22" s="33" t="s">
        <v>166</v>
      </c>
      <c r="D22" s="33">
        <v>1995</v>
      </c>
      <c r="E22" s="33" t="s">
        <v>161</v>
      </c>
      <c r="F22" s="33" t="s">
        <v>173</v>
      </c>
      <c r="G22" s="33" t="s">
        <v>196</v>
      </c>
      <c r="H22" s="61" t="s">
        <v>219</v>
      </c>
      <c r="I22" s="67"/>
      <c r="J22" s="98" t="s">
        <v>453</v>
      </c>
    </row>
    <row r="23" spans="1:10">
      <c r="A23" s="16">
        <v>20</v>
      </c>
      <c r="B23" s="16" t="s">
        <v>580</v>
      </c>
      <c r="C23" s="26" t="s">
        <v>167</v>
      </c>
      <c r="D23" s="26">
        <v>1991</v>
      </c>
      <c r="E23" s="26" t="s">
        <v>161</v>
      </c>
      <c r="F23" s="26" t="s">
        <v>173</v>
      </c>
      <c r="G23" s="26" t="s">
        <v>196</v>
      </c>
      <c r="H23" s="36">
        <v>96320501</v>
      </c>
      <c r="I23" s="66"/>
      <c r="J23" s="98" t="s">
        <v>534</v>
      </c>
    </row>
    <row r="24" spans="1:10">
      <c r="A24" s="16">
        <v>21</v>
      </c>
      <c r="B24" s="16" t="s">
        <v>702</v>
      </c>
      <c r="C24" s="26">
        <v>96320326</v>
      </c>
      <c r="D24" s="26">
        <v>1996</v>
      </c>
      <c r="E24" s="26" t="s">
        <v>158</v>
      </c>
      <c r="F24" s="26" t="s">
        <v>173</v>
      </c>
      <c r="G24" s="26" t="s">
        <v>196</v>
      </c>
      <c r="H24" s="36">
        <v>96320498</v>
      </c>
      <c r="I24" s="66" t="s">
        <v>201</v>
      </c>
      <c r="J24" s="98" t="s">
        <v>538</v>
      </c>
    </row>
    <row r="25" spans="1:10">
      <c r="A25" s="16">
        <v>22</v>
      </c>
      <c r="B25" s="16" t="s">
        <v>581</v>
      </c>
      <c r="C25" s="37" t="s">
        <v>174</v>
      </c>
      <c r="D25" s="37" t="s">
        <v>168</v>
      </c>
      <c r="E25" s="37" t="s">
        <v>168</v>
      </c>
      <c r="F25" s="26" t="s">
        <v>173</v>
      </c>
      <c r="G25" s="26" t="s">
        <v>196</v>
      </c>
      <c r="H25" s="36" t="s">
        <v>544</v>
      </c>
      <c r="I25" s="68" t="s">
        <v>231</v>
      </c>
      <c r="J25" s="98" t="s">
        <v>540</v>
      </c>
    </row>
    <row r="26" spans="1:10">
      <c r="A26" s="29">
        <v>23</v>
      </c>
      <c r="B26" s="29" t="s">
        <v>485</v>
      </c>
      <c r="C26" s="29" t="s">
        <v>189</v>
      </c>
      <c r="D26" s="29">
        <v>1993</v>
      </c>
      <c r="E26" s="29" t="s">
        <v>15</v>
      </c>
      <c r="F26" s="33" t="s">
        <v>187</v>
      </c>
      <c r="G26" s="33" t="s">
        <v>197</v>
      </c>
      <c r="H26" s="29" t="s">
        <v>223</v>
      </c>
      <c r="I26" s="67"/>
      <c r="J26" s="98" t="s">
        <v>454</v>
      </c>
    </row>
    <row r="27" spans="1:10">
      <c r="A27" s="29">
        <v>24</v>
      </c>
      <c r="B27" s="139" t="s">
        <v>575</v>
      </c>
      <c r="C27" s="29" t="s">
        <v>190</v>
      </c>
      <c r="D27" s="29">
        <v>1995</v>
      </c>
      <c r="E27" s="29" t="s">
        <v>18</v>
      </c>
      <c r="F27" s="33" t="s">
        <v>187</v>
      </c>
      <c r="G27" s="33" t="s">
        <v>197</v>
      </c>
      <c r="H27" s="61" t="s">
        <v>226</v>
      </c>
      <c r="I27" s="67" t="s">
        <v>576</v>
      </c>
      <c r="J27" s="98" t="s">
        <v>455</v>
      </c>
    </row>
    <row r="28" spans="1:10">
      <c r="A28" s="29">
        <v>25</v>
      </c>
      <c r="B28" s="29" t="s">
        <v>486</v>
      </c>
      <c r="C28" s="29" t="s">
        <v>191</v>
      </c>
      <c r="D28" s="29">
        <v>1993</v>
      </c>
      <c r="E28" s="62" t="s">
        <v>188</v>
      </c>
      <c r="F28" s="33" t="s">
        <v>187</v>
      </c>
      <c r="G28" s="33" t="s">
        <v>197</v>
      </c>
      <c r="H28" s="63" t="s">
        <v>220</v>
      </c>
      <c r="I28" s="69" t="s">
        <v>221</v>
      </c>
      <c r="J28" s="98" t="s">
        <v>456</v>
      </c>
    </row>
    <row r="29" spans="1:10">
      <c r="A29" s="29">
        <v>26</v>
      </c>
      <c r="B29" s="29" t="s">
        <v>487</v>
      </c>
      <c r="C29" s="29" t="s">
        <v>192</v>
      </c>
      <c r="D29" s="29">
        <v>1994</v>
      </c>
      <c r="E29" s="29" t="s">
        <v>18</v>
      </c>
      <c r="F29" s="33" t="s">
        <v>187</v>
      </c>
      <c r="G29" s="33" t="s">
        <v>197</v>
      </c>
      <c r="H29" s="61" t="s">
        <v>225</v>
      </c>
      <c r="I29" s="69"/>
      <c r="J29" s="98" t="s">
        <v>457</v>
      </c>
    </row>
    <row r="30" spans="1:10">
      <c r="A30" s="29">
        <v>27</v>
      </c>
      <c r="B30" s="29" t="s">
        <v>449</v>
      </c>
      <c r="C30" s="29" t="s">
        <v>193</v>
      </c>
      <c r="D30" s="29">
        <v>1995</v>
      </c>
      <c r="E30" s="29" t="s">
        <v>18</v>
      </c>
      <c r="F30" s="33" t="s">
        <v>187</v>
      </c>
      <c r="G30" s="33" t="s">
        <v>197</v>
      </c>
      <c r="H30" s="29" t="s">
        <v>228</v>
      </c>
      <c r="I30" s="69"/>
      <c r="J30" s="98" t="s">
        <v>458</v>
      </c>
    </row>
    <row r="31" spans="1:10">
      <c r="A31" s="29">
        <v>28</v>
      </c>
      <c r="B31" s="29" t="s">
        <v>479</v>
      </c>
      <c r="C31" s="29" t="s">
        <v>194</v>
      </c>
      <c r="D31" s="29">
        <v>1995</v>
      </c>
      <c r="E31" s="29" t="s">
        <v>18</v>
      </c>
      <c r="F31" s="33" t="s">
        <v>187</v>
      </c>
      <c r="G31" s="33" t="s">
        <v>197</v>
      </c>
      <c r="H31" s="29">
        <v>95172</v>
      </c>
      <c r="I31" s="69" t="s">
        <v>227</v>
      </c>
      <c r="J31" s="98" t="s">
        <v>459</v>
      </c>
    </row>
    <row r="32" spans="1:10">
      <c r="A32" s="16">
        <v>29</v>
      </c>
      <c r="B32" s="16" t="s">
        <v>633</v>
      </c>
      <c r="C32" s="16">
        <v>9134510</v>
      </c>
      <c r="D32" s="16">
        <v>1991</v>
      </c>
      <c r="E32" s="16" t="s">
        <v>61</v>
      </c>
      <c r="F32" s="26" t="s">
        <v>187</v>
      </c>
      <c r="G32" s="26" t="s">
        <v>197</v>
      </c>
      <c r="H32" s="16" t="s">
        <v>542</v>
      </c>
      <c r="I32" s="66" t="s">
        <v>201</v>
      </c>
      <c r="J32" s="98" t="s">
        <v>531</v>
      </c>
    </row>
    <row r="33" spans="1:10">
      <c r="A33" s="29">
        <v>30</v>
      </c>
      <c r="B33" s="29" t="s">
        <v>450</v>
      </c>
      <c r="C33" s="29" t="s">
        <v>195</v>
      </c>
      <c r="D33" s="29">
        <v>1995</v>
      </c>
      <c r="E33" s="29" t="s">
        <v>18</v>
      </c>
      <c r="F33" s="33" t="s">
        <v>187</v>
      </c>
      <c r="G33" s="33" t="s">
        <v>197</v>
      </c>
      <c r="H33" s="29">
        <v>95135</v>
      </c>
      <c r="I33" s="69" t="s">
        <v>227</v>
      </c>
      <c r="J33" s="98" t="s">
        <v>460</v>
      </c>
    </row>
  </sheetData>
  <autoFilter ref="A3:H33" xr:uid="{00000000-0009-0000-0000-000001000000}"/>
  <mergeCells count="1">
    <mergeCell ref="A1:I1"/>
  </mergeCells>
  <phoneticPr fontId="1" type="noConversion"/>
  <pageMargins left="0.25" right="0.25" top="0.75" bottom="0.75" header="0.3" footer="0.3"/>
  <pageSetup paperSize="9" scale="92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AP57"/>
  <sheetViews>
    <sheetView view="pageBreakPreview" zoomScaleNormal="100" zoomScaleSheetLayoutView="100" workbookViewId="0">
      <selection activeCell="R9" sqref="R9"/>
    </sheetView>
  </sheetViews>
  <sheetFormatPr defaultRowHeight="17.399999999999999"/>
  <cols>
    <col min="1" max="1" width="5.59765625" customWidth="1"/>
    <col min="2" max="2" width="12.59765625" customWidth="1"/>
    <col min="4" max="4" width="11.59765625" customWidth="1"/>
    <col min="5" max="5" width="1.59765625" customWidth="1"/>
    <col min="6" max="6" width="11.59765625" customWidth="1"/>
    <col min="7" max="7" width="6.59765625" customWidth="1"/>
    <col min="8" max="8" width="1.59765625" customWidth="1"/>
    <col min="9" max="9" width="5.59765625" customWidth="1"/>
    <col min="10" max="10" width="12.59765625" customWidth="1"/>
    <col min="12" max="12" width="11.59765625" customWidth="1"/>
    <col min="13" max="13" width="1.59765625" customWidth="1"/>
    <col min="14" max="14" width="11.59765625" customWidth="1"/>
    <col min="15" max="15" width="6.59765625" customWidth="1"/>
    <col min="16" max="16" width="1.59765625" customWidth="1"/>
    <col min="17" max="17" width="5.59765625" customWidth="1"/>
    <col min="18" max="18" width="12.59765625" customWidth="1"/>
    <col min="20" max="20" width="11.59765625" customWidth="1"/>
    <col min="21" max="21" width="1.59765625" customWidth="1"/>
    <col min="22" max="22" width="11.59765625" customWidth="1"/>
    <col min="23" max="23" width="6.59765625" customWidth="1"/>
    <col min="24" max="24" width="1.59765625" customWidth="1"/>
    <col min="25" max="25" width="5.59765625" customWidth="1"/>
    <col min="26" max="28" width="11.59765625" customWidth="1"/>
    <col min="29" max="29" width="19.69921875" style="70" customWidth="1"/>
    <col min="30" max="30" width="16.19921875" style="49" customWidth="1"/>
    <col min="32" max="32" width="11" bestFit="1" customWidth="1"/>
    <col min="33" max="33" width="12.09765625" customWidth="1"/>
    <col min="34" max="34" width="12.19921875" bestFit="1" customWidth="1"/>
    <col min="36" max="36" width="31.5" customWidth="1"/>
    <col min="37" max="37" width="11.59765625" bestFit="1" customWidth="1"/>
    <col min="39" max="39" width="14.09765625" customWidth="1"/>
  </cols>
  <sheetData>
    <row r="1" spans="1:38" ht="20.100000000000001" customHeight="1" thickBot="1">
      <c r="A1" s="312" t="s">
        <v>3</v>
      </c>
      <c r="B1" s="313"/>
      <c r="C1" s="313"/>
      <c r="D1" s="314"/>
      <c r="I1" s="312" t="s">
        <v>4</v>
      </c>
      <c r="J1" s="313"/>
      <c r="K1" s="313"/>
      <c r="L1" s="314"/>
      <c r="Q1" s="312" t="s">
        <v>5</v>
      </c>
      <c r="R1" s="313"/>
      <c r="S1" s="313"/>
      <c r="T1" s="314"/>
      <c r="Y1" s="309" t="s">
        <v>6</v>
      </c>
      <c r="Z1" s="310"/>
      <c r="AA1" s="310"/>
      <c r="AB1" s="310"/>
      <c r="AC1" s="311"/>
      <c r="AF1" s="309" t="s">
        <v>462</v>
      </c>
      <c r="AG1" s="310"/>
      <c r="AH1" s="310"/>
      <c r="AI1" s="310"/>
      <c r="AJ1" s="311"/>
      <c r="AK1" s="45">
        <v>44379</v>
      </c>
    </row>
    <row r="2" spans="1:38" ht="20.100000000000001" customHeight="1" thickBot="1">
      <c r="A2" s="1" t="s">
        <v>7</v>
      </c>
      <c r="B2" s="2" t="s">
        <v>8</v>
      </c>
      <c r="C2" s="2" t="s">
        <v>9</v>
      </c>
      <c r="D2" s="3" t="s">
        <v>10</v>
      </c>
      <c r="E2" s="4"/>
      <c r="F2" s="5"/>
      <c r="I2" s="1" t="s">
        <v>7</v>
      </c>
      <c r="J2" s="2" t="s">
        <v>8</v>
      </c>
      <c r="K2" s="2" t="s">
        <v>9</v>
      </c>
      <c r="L2" s="3" t="s">
        <v>10</v>
      </c>
      <c r="M2" s="5"/>
      <c r="N2" s="5"/>
      <c r="Q2" s="6" t="s">
        <v>7</v>
      </c>
      <c r="R2" s="7" t="s">
        <v>8</v>
      </c>
      <c r="S2" s="7" t="s">
        <v>9</v>
      </c>
      <c r="T2" s="8" t="s">
        <v>10</v>
      </c>
      <c r="Y2" s="1" t="s">
        <v>7</v>
      </c>
      <c r="Z2" s="2" t="s">
        <v>8</v>
      </c>
      <c r="AA2" s="2" t="s">
        <v>9</v>
      </c>
      <c r="AB2" s="286" t="s">
        <v>10</v>
      </c>
      <c r="AC2" s="287" t="s">
        <v>11</v>
      </c>
      <c r="AD2" s="132" t="s">
        <v>0</v>
      </c>
      <c r="AF2" s="6" t="s">
        <v>7</v>
      </c>
      <c r="AG2" s="7" t="s">
        <v>8</v>
      </c>
      <c r="AH2" s="7" t="s">
        <v>9</v>
      </c>
      <c r="AI2" s="9" t="s">
        <v>10</v>
      </c>
      <c r="AJ2" s="8" t="s">
        <v>11</v>
      </c>
      <c r="AL2" s="71" t="s">
        <v>243</v>
      </c>
    </row>
    <row r="3" spans="1:38" ht="20.100000000000001" customHeight="1">
      <c r="A3" s="10">
        <v>1</v>
      </c>
      <c r="B3" s="11" t="s">
        <v>12</v>
      </c>
      <c r="C3" s="11">
        <v>1998</v>
      </c>
      <c r="D3" s="12" t="s">
        <v>13</v>
      </c>
      <c r="E3" s="5"/>
      <c r="F3" s="5"/>
      <c r="I3" s="10">
        <v>1</v>
      </c>
      <c r="J3" s="236" t="s">
        <v>41</v>
      </c>
      <c r="K3" s="236">
        <v>1994</v>
      </c>
      <c r="L3" s="236" t="s">
        <v>13</v>
      </c>
      <c r="M3" s="5"/>
      <c r="N3" s="5"/>
      <c r="Q3" s="13">
        <v>1</v>
      </c>
      <c r="R3" s="47" t="s">
        <v>16</v>
      </c>
      <c r="S3" s="47">
        <v>1973</v>
      </c>
      <c r="T3" s="14" t="s">
        <v>15</v>
      </c>
      <c r="Y3" s="297">
        <v>1</v>
      </c>
      <c r="Z3" s="231" t="s">
        <v>59</v>
      </c>
      <c r="AA3" s="231">
        <v>1974</v>
      </c>
      <c r="AB3" s="231" t="s">
        <v>15</v>
      </c>
      <c r="AC3" s="292" t="s">
        <v>751</v>
      </c>
      <c r="AD3" s="133"/>
      <c r="AE3" s="100"/>
      <c r="AF3" s="101">
        <v>1</v>
      </c>
      <c r="AG3" s="42" t="s">
        <v>23</v>
      </c>
      <c r="AH3" s="42">
        <v>1989</v>
      </c>
      <c r="AI3" s="42" t="s">
        <v>18</v>
      </c>
      <c r="AJ3" s="43" t="s">
        <v>145</v>
      </c>
      <c r="AK3" s="44" t="s">
        <v>148</v>
      </c>
    </row>
    <row r="4" spans="1:38" ht="20.100000000000001" customHeight="1">
      <c r="A4" s="15">
        <v>2</v>
      </c>
      <c r="B4" s="16" t="s">
        <v>19</v>
      </c>
      <c r="C4" s="16">
        <v>1998</v>
      </c>
      <c r="D4" s="14" t="s">
        <v>13</v>
      </c>
      <c r="E4" s="5"/>
      <c r="F4" s="5"/>
      <c r="I4" s="25">
        <v>2</v>
      </c>
      <c r="J4" s="236" t="s">
        <v>140</v>
      </c>
      <c r="K4" s="236">
        <v>1974</v>
      </c>
      <c r="L4" s="236" t="s">
        <v>15</v>
      </c>
      <c r="M4" s="5"/>
      <c r="N4" s="5"/>
      <c r="Q4" s="15">
        <v>2</v>
      </c>
      <c r="R4" s="16" t="s">
        <v>21</v>
      </c>
      <c r="S4" s="16">
        <v>1992</v>
      </c>
      <c r="T4" s="14" t="s">
        <v>13</v>
      </c>
      <c r="Y4" s="297">
        <v>2</v>
      </c>
      <c r="Z4" s="231" t="s">
        <v>57</v>
      </c>
      <c r="AA4" s="231">
        <v>1974</v>
      </c>
      <c r="AB4" s="231" t="s">
        <v>15</v>
      </c>
      <c r="AC4" s="292" t="s">
        <v>751</v>
      </c>
      <c r="AD4" s="133"/>
      <c r="AE4" s="148"/>
      <c r="AF4" s="25">
        <v>2</v>
      </c>
      <c r="AG4" s="26" t="s">
        <v>36</v>
      </c>
      <c r="AH4" s="26">
        <v>1992</v>
      </c>
      <c r="AI4" s="26" t="s">
        <v>13</v>
      </c>
      <c r="AJ4" s="30" t="s">
        <v>145</v>
      </c>
      <c r="AK4" s="44" t="s">
        <v>148</v>
      </c>
      <c r="AL4" s="44" t="s">
        <v>241</v>
      </c>
    </row>
    <row r="5" spans="1:38" ht="20.100000000000001" customHeight="1">
      <c r="A5" s="15">
        <v>3</v>
      </c>
      <c r="B5" s="16" t="s">
        <v>22</v>
      </c>
      <c r="C5" s="16">
        <v>1996</v>
      </c>
      <c r="D5" s="14" t="s">
        <v>13</v>
      </c>
      <c r="E5" s="5"/>
      <c r="F5" s="5"/>
      <c r="I5" s="25">
        <v>3</v>
      </c>
      <c r="J5" s="236" t="s">
        <v>111</v>
      </c>
      <c r="K5" s="236">
        <v>1974</v>
      </c>
      <c r="L5" s="236" t="s">
        <v>756</v>
      </c>
      <c r="M5" s="5"/>
      <c r="N5" s="5"/>
      <c r="Q5" s="15">
        <v>3</v>
      </c>
      <c r="R5" s="16" t="s">
        <v>24</v>
      </c>
      <c r="S5" s="16">
        <v>1988</v>
      </c>
      <c r="T5" s="14" t="s">
        <v>13</v>
      </c>
      <c r="Y5" s="297">
        <v>3</v>
      </c>
      <c r="Z5" s="231">
        <v>65412</v>
      </c>
      <c r="AA5" s="231">
        <v>1977</v>
      </c>
      <c r="AB5" s="231" t="s">
        <v>40</v>
      </c>
      <c r="AC5" s="292" t="s">
        <v>751</v>
      </c>
      <c r="AD5" s="133"/>
      <c r="AE5" s="100"/>
      <c r="AF5" s="25">
        <v>3</v>
      </c>
      <c r="AG5" s="26" t="s">
        <v>28</v>
      </c>
      <c r="AH5" s="26">
        <v>1988</v>
      </c>
      <c r="AI5" s="26" t="s">
        <v>18</v>
      </c>
      <c r="AJ5" s="30" t="s">
        <v>145</v>
      </c>
      <c r="AK5" s="44" t="s">
        <v>148</v>
      </c>
    </row>
    <row r="6" spans="1:38" ht="20.100000000000001" customHeight="1">
      <c r="A6" s="15">
        <v>4</v>
      </c>
      <c r="B6" s="16" t="s">
        <v>774</v>
      </c>
      <c r="C6" s="16">
        <v>1992</v>
      </c>
      <c r="D6" s="14" t="s">
        <v>13</v>
      </c>
      <c r="E6" s="5"/>
      <c r="F6" s="5"/>
      <c r="I6" s="25">
        <v>4</v>
      </c>
      <c r="J6" s="236" t="s">
        <v>425</v>
      </c>
      <c r="K6" s="236">
        <v>1977</v>
      </c>
      <c r="L6" s="236" t="s">
        <v>15</v>
      </c>
      <c r="M6" s="5"/>
      <c r="N6" s="5"/>
      <c r="Q6" s="76">
        <v>4</v>
      </c>
      <c r="R6" s="77" t="s">
        <v>27</v>
      </c>
      <c r="S6" s="77">
        <v>1992</v>
      </c>
      <c r="T6" s="78" t="s">
        <v>13</v>
      </c>
      <c r="Y6" s="297">
        <v>4</v>
      </c>
      <c r="Z6" s="231" t="s">
        <v>372</v>
      </c>
      <c r="AA6" s="231">
        <v>1989</v>
      </c>
      <c r="AB6" s="231" t="s">
        <v>131</v>
      </c>
      <c r="AC6" s="292" t="s">
        <v>751</v>
      </c>
      <c r="AD6" s="133"/>
      <c r="AE6" s="100"/>
      <c r="AF6" s="25">
        <v>4</v>
      </c>
      <c r="AG6" s="26" t="s">
        <v>31</v>
      </c>
      <c r="AH6" s="26">
        <v>1974</v>
      </c>
      <c r="AI6" s="26" t="s">
        <v>15</v>
      </c>
      <c r="AJ6" s="30" t="s">
        <v>93</v>
      </c>
      <c r="AK6" s="44" t="s">
        <v>148</v>
      </c>
      <c r="AL6" s="44" t="s">
        <v>429</v>
      </c>
    </row>
    <row r="7" spans="1:38" ht="20.100000000000001" customHeight="1">
      <c r="A7" s="15">
        <v>5</v>
      </c>
      <c r="B7" s="16" t="s">
        <v>176</v>
      </c>
      <c r="C7" s="16">
        <v>1974</v>
      </c>
      <c r="D7" s="14" t="s">
        <v>127</v>
      </c>
      <c r="E7" s="5"/>
      <c r="F7" s="5"/>
      <c r="I7" s="25">
        <v>5</v>
      </c>
      <c r="J7" s="94">
        <v>9134584</v>
      </c>
      <c r="K7" s="94">
        <v>1991</v>
      </c>
      <c r="L7" s="95" t="s">
        <v>129</v>
      </c>
      <c r="M7" s="5"/>
      <c r="N7" s="5"/>
      <c r="Q7" s="15">
        <v>5</v>
      </c>
      <c r="R7" s="16" t="s">
        <v>25</v>
      </c>
      <c r="S7" s="16">
        <v>1994</v>
      </c>
      <c r="T7" s="14" t="s">
        <v>13</v>
      </c>
      <c r="Y7" s="297">
        <v>5</v>
      </c>
      <c r="Z7" s="231" t="s">
        <v>366</v>
      </c>
      <c r="AA7" s="231">
        <v>1974</v>
      </c>
      <c r="AB7" s="231" t="s">
        <v>127</v>
      </c>
      <c r="AC7" s="292" t="s">
        <v>751</v>
      </c>
      <c r="AD7" s="133"/>
      <c r="AE7" s="100"/>
      <c r="AF7" s="25">
        <v>5</v>
      </c>
      <c r="AG7" s="26">
        <v>65411</v>
      </c>
      <c r="AH7" s="26">
        <v>1977</v>
      </c>
      <c r="AI7" s="26" t="s">
        <v>40</v>
      </c>
      <c r="AJ7" s="30" t="s">
        <v>145</v>
      </c>
      <c r="AK7" s="44" t="s">
        <v>148</v>
      </c>
      <c r="AL7" s="44" t="s">
        <v>430</v>
      </c>
    </row>
    <row r="8" spans="1:38" ht="20.100000000000001" customHeight="1">
      <c r="A8" s="15">
        <v>6</v>
      </c>
      <c r="B8" s="16" t="s">
        <v>175</v>
      </c>
      <c r="C8" s="16">
        <v>1989</v>
      </c>
      <c r="D8" s="14" t="s">
        <v>131</v>
      </c>
      <c r="E8" s="5"/>
      <c r="F8" s="5"/>
      <c r="I8" s="25">
        <v>6</v>
      </c>
      <c r="J8" s="94">
        <v>9134564</v>
      </c>
      <c r="K8" s="94">
        <v>1991</v>
      </c>
      <c r="L8" s="95" t="s">
        <v>129</v>
      </c>
      <c r="M8" s="5"/>
      <c r="N8" s="5"/>
      <c r="Q8" s="93">
        <v>6</v>
      </c>
      <c r="R8" s="94" t="s">
        <v>192</v>
      </c>
      <c r="S8" s="94">
        <v>1994</v>
      </c>
      <c r="T8" s="95" t="s">
        <v>18</v>
      </c>
      <c r="Y8" s="297">
        <v>6</v>
      </c>
      <c r="Z8" s="231" t="s">
        <v>86</v>
      </c>
      <c r="AA8" s="231">
        <v>1987</v>
      </c>
      <c r="AB8" s="231" t="s">
        <v>113</v>
      </c>
      <c r="AC8" s="292" t="s">
        <v>751</v>
      </c>
      <c r="AD8" s="133"/>
      <c r="AE8" s="44"/>
      <c r="AF8" s="25">
        <v>6</v>
      </c>
      <c r="AG8" s="26" t="s">
        <v>48</v>
      </c>
      <c r="AH8" s="26">
        <v>1974</v>
      </c>
      <c r="AI8" s="26" t="s">
        <v>15</v>
      </c>
      <c r="AJ8" s="30" t="s">
        <v>94</v>
      </c>
      <c r="AK8" s="44" t="s">
        <v>148</v>
      </c>
      <c r="AL8" s="44" t="s">
        <v>428</v>
      </c>
    </row>
    <row r="9" spans="1:38" ht="20.100000000000001" customHeight="1">
      <c r="A9" s="15">
        <v>7</v>
      </c>
      <c r="B9" s="16" t="s">
        <v>229</v>
      </c>
      <c r="C9" s="16">
        <v>1988</v>
      </c>
      <c r="D9" s="14" t="s">
        <v>113</v>
      </c>
      <c r="E9" s="5"/>
      <c r="F9" s="5"/>
      <c r="I9" s="25">
        <v>7</v>
      </c>
      <c r="J9" s="26" t="s">
        <v>34</v>
      </c>
      <c r="K9" s="26">
        <v>1989</v>
      </c>
      <c r="L9" s="30" t="s">
        <v>18</v>
      </c>
      <c r="M9" s="5"/>
      <c r="N9" s="5"/>
      <c r="Q9" s="25">
        <v>7</v>
      </c>
      <c r="R9" s="26" t="s">
        <v>519</v>
      </c>
      <c r="S9" s="26">
        <v>1998</v>
      </c>
      <c r="T9" s="30" t="s">
        <v>13</v>
      </c>
      <c r="Y9" s="297">
        <v>7</v>
      </c>
      <c r="Z9" s="298" t="s">
        <v>82</v>
      </c>
      <c r="AA9" s="298">
        <v>1974</v>
      </c>
      <c r="AB9" s="298" t="s">
        <v>15</v>
      </c>
      <c r="AC9" s="299" t="s">
        <v>751</v>
      </c>
      <c r="AD9" s="133"/>
      <c r="AE9" s="100"/>
      <c r="AF9" s="25">
        <v>7</v>
      </c>
      <c r="AG9" s="26" t="s">
        <v>146</v>
      </c>
      <c r="AH9" s="26">
        <v>1974</v>
      </c>
      <c r="AI9" s="26" t="s">
        <v>127</v>
      </c>
      <c r="AJ9" s="30" t="s">
        <v>145</v>
      </c>
      <c r="AK9" s="44" t="s">
        <v>148</v>
      </c>
      <c r="AL9" s="44" t="s">
        <v>242</v>
      </c>
    </row>
    <row r="10" spans="1:38" ht="20.100000000000001" customHeight="1">
      <c r="A10" s="15">
        <v>8</v>
      </c>
      <c r="B10" s="16" t="s">
        <v>230</v>
      </c>
      <c r="C10" s="16">
        <v>1987</v>
      </c>
      <c r="D10" s="14" t="s">
        <v>113</v>
      </c>
      <c r="E10" s="5"/>
      <c r="F10" s="5"/>
      <c r="I10" s="25">
        <v>8</v>
      </c>
      <c r="J10" s="94" t="s">
        <v>777</v>
      </c>
      <c r="K10" s="94">
        <v>1992</v>
      </c>
      <c r="L10" s="95" t="s">
        <v>13</v>
      </c>
      <c r="M10" s="5"/>
      <c r="N10" s="5"/>
      <c r="Q10" s="15">
        <v>8</v>
      </c>
      <c r="R10" s="26" t="s">
        <v>422</v>
      </c>
      <c r="S10" s="26">
        <v>1974</v>
      </c>
      <c r="T10" s="30" t="s">
        <v>15</v>
      </c>
      <c r="Y10" s="300">
        <v>8</v>
      </c>
      <c r="Z10" s="293">
        <v>64052</v>
      </c>
      <c r="AA10" s="293">
        <v>1977</v>
      </c>
      <c r="AB10" s="293" t="s">
        <v>15</v>
      </c>
      <c r="AC10" s="294" t="s">
        <v>791</v>
      </c>
      <c r="AD10" s="133"/>
      <c r="AF10" s="25">
        <v>8</v>
      </c>
      <c r="AG10" s="26" t="s">
        <v>426</v>
      </c>
      <c r="AH10" s="26">
        <v>1974</v>
      </c>
      <c r="AI10" s="26" t="s">
        <v>127</v>
      </c>
      <c r="AJ10" s="30" t="s">
        <v>145</v>
      </c>
      <c r="AK10" s="44" t="s">
        <v>148</v>
      </c>
      <c r="AL10" s="44" t="s">
        <v>427</v>
      </c>
    </row>
    <row r="11" spans="1:38" ht="20.100000000000001" customHeight="1">
      <c r="A11" s="15">
        <v>9</v>
      </c>
      <c r="B11" s="94" t="s">
        <v>159</v>
      </c>
      <c r="C11" s="94">
        <v>1993</v>
      </c>
      <c r="D11" s="95" t="s">
        <v>13</v>
      </c>
      <c r="E11" s="5"/>
      <c r="F11" s="5"/>
      <c r="I11" s="25">
        <v>9</v>
      </c>
      <c r="J11" s="26" t="s">
        <v>39</v>
      </c>
      <c r="K11" s="26">
        <v>1989</v>
      </c>
      <c r="L11" s="30" t="s">
        <v>13</v>
      </c>
      <c r="M11" s="5"/>
      <c r="N11" s="5"/>
      <c r="Q11" s="15">
        <v>9</v>
      </c>
      <c r="R11" s="137" t="s">
        <v>489</v>
      </c>
      <c r="S11" s="137">
        <v>1996</v>
      </c>
      <c r="T11" s="141" t="s">
        <v>13</v>
      </c>
      <c r="Y11" s="300">
        <v>9</v>
      </c>
      <c r="Z11" s="293" t="s">
        <v>26</v>
      </c>
      <c r="AA11" s="293">
        <v>1998</v>
      </c>
      <c r="AB11" s="293" t="s">
        <v>18</v>
      </c>
      <c r="AC11" s="294" t="s">
        <v>791</v>
      </c>
      <c r="AD11" s="133"/>
      <c r="AF11" s="25">
        <v>9</v>
      </c>
      <c r="AG11" s="248" t="s">
        <v>279</v>
      </c>
      <c r="AH11" s="248">
        <v>1988</v>
      </c>
      <c r="AI11" s="248" t="s">
        <v>113</v>
      </c>
      <c r="AJ11" s="254" t="s">
        <v>149</v>
      </c>
    </row>
    <row r="12" spans="1:38" ht="20.100000000000001" customHeight="1">
      <c r="A12" s="15">
        <v>10</v>
      </c>
      <c r="B12" s="94" t="s">
        <v>381</v>
      </c>
      <c r="C12" s="94">
        <v>1995</v>
      </c>
      <c r="D12" s="95" t="s">
        <v>131</v>
      </c>
      <c r="E12" s="5"/>
      <c r="F12" s="5"/>
      <c r="I12" s="25">
        <v>10</v>
      </c>
      <c r="J12" s="94">
        <v>9134510</v>
      </c>
      <c r="K12" s="94">
        <v>1991</v>
      </c>
      <c r="L12" s="95" t="s">
        <v>129</v>
      </c>
      <c r="M12" s="5"/>
      <c r="N12" s="5"/>
      <c r="Q12" s="15">
        <v>10</v>
      </c>
      <c r="R12" s="16" t="s">
        <v>152</v>
      </c>
      <c r="S12" s="16">
        <v>1988</v>
      </c>
      <c r="T12" s="14" t="s">
        <v>13</v>
      </c>
      <c r="Y12" s="300">
        <v>10</v>
      </c>
      <c r="Z12" s="293" t="s">
        <v>74</v>
      </c>
      <c r="AA12" s="293">
        <v>1988</v>
      </c>
      <c r="AB12" s="293" t="s">
        <v>13</v>
      </c>
      <c r="AC12" s="294" t="s">
        <v>791</v>
      </c>
      <c r="AD12" s="133"/>
      <c r="AF12" s="25">
        <v>10</v>
      </c>
      <c r="AG12" s="248" t="s">
        <v>214</v>
      </c>
      <c r="AH12" s="248">
        <v>1988</v>
      </c>
      <c r="AI12" s="248" t="s">
        <v>113</v>
      </c>
      <c r="AJ12" s="254" t="s">
        <v>149</v>
      </c>
    </row>
    <row r="13" spans="1:38" ht="20.100000000000001" customHeight="1">
      <c r="A13" s="15">
        <v>11</v>
      </c>
      <c r="B13" s="94" t="s">
        <v>167</v>
      </c>
      <c r="C13" s="94">
        <v>1991</v>
      </c>
      <c r="D13" s="95" t="s">
        <v>18</v>
      </c>
      <c r="E13" s="5"/>
      <c r="F13" s="5"/>
      <c r="I13" s="25">
        <v>11</v>
      </c>
      <c r="J13" s="26">
        <v>59812</v>
      </c>
      <c r="K13" s="26">
        <v>1974</v>
      </c>
      <c r="L13" s="30" t="s">
        <v>177</v>
      </c>
      <c r="M13" s="5"/>
      <c r="N13" s="5"/>
      <c r="Q13" s="15">
        <v>11</v>
      </c>
      <c r="R13" s="137" t="s">
        <v>328</v>
      </c>
      <c r="S13" s="137">
        <v>1989</v>
      </c>
      <c r="T13" s="141" t="s">
        <v>131</v>
      </c>
      <c r="Y13" s="300">
        <v>11</v>
      </c>
      <c r="Z13" s="293" t="s">
        <v>815</v>
      </c>
      <c r="AA13" s="293">
        <v>1996</v>
      </c>
      <c r="AB13" s="293" t="s">
        <v>13</v>
      </c>
      <c r="AC13" s="294" t="s">
        <v>791</v>
      </c>
      <c r="AD13" s="244"/>
      <c r="AF13" s="25">
        <v>11</v>
      </c>
      <c r="AG13" s="94">
        <v>9134547</v>
      </c>
      <c r="AH13" s="94">
        <v>1991</v>
      </c>
      <c r="AI13" s="94" t="s">
        <v>129</v>
      </c>
      <c r="AJ13" s="30" t="s">
        <v>150</v>
      </c>
      <c r="AK13" s="26" t="s">
        <v>45</v>
      </c>
    </row>
    <row r="14" spans="1:38" ht="20.100000000000001" customHeight="1">
      <c r="A14" s="15">
        <v>12</v>
      </c>
      <c r="B14" s="94" t="s">
        <v>556</v>
      </c>
      <c r="C14" s="94">
        <v>1994</v>
      </c>
      <c r="D14" s="95" t="s">
        <v>13</v>
      </c>
      <c r="E14" s="5"/>
      <c r="F14" s="5"/>
      <c r="I14" s="25">
        <v>12</v>
      </c>
      <c r="J14" s="284" t="s">
        <v>771</v>
      </c>
      <c r="K14" s="284">
        <v>1996</v>
      </c>
      <c r="L14" s="303" t="s">
        <v>13</v>
      </c>
      <c r="M14" s="5"/>
      <c r="N14" s="5"/>
      <c r="Q14" s="15">
        <v>12</v>
      </c>
      <c r="R14" s="16" t="s">
        <v>44</v>
      </c>
      <c r="S14" s="16">
        <v>1988</v>
      </c>
      <c r="T14" s="14" t="s">
        <v>13</v>
      </c>
      <c r="Y14" s="300">
        <v>12</v>
      </c>
      <c r="Z14" s="293" t="s">
        <v>185</v>
      </c>
      <c r="AA14" s="293">
        <v>1974</v>
      </c>
      <c r="AB14" s="293" t="s">
        <v>15</v>
      </c>
      <c r="AC14" s="294" t="s">
        <v>791</v>
      </c>
      <c r="AD14" s="244"/>
      <c r="AF14" s="25">
        <v>12</v>
      </c>
      <c r="AG14" s="248" t="s">
        <v>178</v>
      </c>
      <c r="AH14" s="248">
        <v>1989</v>
      </c>
      <c r="AI14" s="248" t="s">
        <v>113</v>
      </c>
      <c r="AJ14" s="254" t="s">
        <v>186</v>
      </c>
      <c r="AL14" s="44" t="s">
        <v>213</v>
      </c>
    </row>
    <row r="15" spans="1:38" ht="20.100000000000001" customHeight="1">
      <c r="A15" s="15">
        <v>13</v>
      </c>
      <c r="B15" s="16" t="s">
        <v>46</v>
      </c>
      <c r="C15" s="16">
        <v>1989</v>
      </c>
      <c r="D15" s="14" t="s">
        <v>18</v>
      </c>
      <c r="E15" s="5"/>
      <c r="F15" s="5"/>
      <c r="I15" s="25">
        <v>13</v>
      </c>
      <c r="J15" s="26" t="s">
        <v>30</v>
      </c>
      <c r="K15" s="26">
        <v>1992</v>
      </c>
      <c r="L15" s="30" t="s">
        <v>13</v>
      </c>
      <c r="M15" s="5"/>
      <c r="N15" s="5"/>
      <c r="Q15" s="15">
        <v>13</v>
      </c>
      <c r="R15" s="16" t="s">
        <v>47</v>
      </c>
      <c r="S15" s="16">
        <v>1974</v>
      </c>
      <c r="T15" s="14" t="s">
        <v>15</v>
      </c>
      <c r="Y15" s="277">
        <v>13</v>
      </c>
      <c r="Z15" s="222" t="s">
        <v>179</v>
      </c>
      <c r="AA15" s="222">
        <v>1989</v>
      </c>
      <c r="AB15" s="222" t="s">
        <v>18</v>
      </c>
      <c r="AC15" s="242" t="s">
        <v>818</v>
      </c>
      <c r="AD15" s="244"/>
      <c r="AF15" s="25">
        <v>13</v>
      </c>
      <c r="AG15" s="248" t="s">
        <v>65</v>
      </c>
      <c r="AH15" s="248">
        <v>1987</v>
      </c>
      <c r="AI15" s="248" t="s">
        <v>13</v>
      </c>
      <c r="AJ15" s="254" t="s">
        <v>186</v>
      </c>
      <c r="AL15" s="44" t="s">
        <v>204</v>
      </c>
    </row>
    <row r="16" spans="1:38" ht="20.100000000000001" customHeight="1">
      <c r="A16" s="15">
        <v>14</v>
      </c>
      <c r="B16" s="16" t="s">
        <v>49</v>
      </c>
      <c r="C16" s="16">
        <v>1988</v>
      </c>
      <c r="D16" s="14" t="s">
        <v>13</v>
      </c>
      <c r="E16" s="5"/>
      <c r="F16" s="5"/>
      <c r="I16" s="25">
        <v>14</v>
      </c>
      <c r="J16" s="26" t="s">
        <v>55</v>
      </c>
      <c r="K16" s="26">
        <v>1989</v>
      </c>
      <c r="L16" s="30" t="s">
        <v>18</v>
      </c>
      <c r="M16" s="5"/>
      <c r="N16" s="5"/>
      <c r="Q16" s="15">
        <v>14</v>
      </c>
      <c r="R16" s="16" t="s">
        <v>51</v>
      </c>
      <c r="S16" s="16">
        <v>1992</v>
      </c>
      <c r="T16" s="14" t="s">
        <v>13</v>
      </c>
      <c r="Y16" s="222">
        <v>14</v>
      </c>
      <c r="Z16" s="222">
        <v>296641</v>
      </c>
      <c r="AA16" s="222">
        <v>1974</v>
      </c>
      <c r="AB16" s="222" t="s">
        <v>15</v>
      </c>
      <c r="AC16" s="242" t="s">
        <v>818</v>
      </c>
      <c r="AD16" s="244"/>
      <c r="AF16" s="25">
        <v>14</v>
      </c>
      <c r="AG16" s="248">
        <v>8833344</v>
      </c>
      <c r="AH16" s="248">
        <v>1988</v>
      </c>
      <c r="AI16" s="248" t="s">
        <v>129</v>
      </c>
      <c r="AJ16" s="254" t="s">
        <v>186</v>
      </c>
      <c r="AL16" s="44" t="s">
        <v>212</v>
      </c>
    </row>
    <row r="17" spans="1:42" ht="20.100000000000001" customHeight="1">
      <c r="A17" s="15">
        <v>15</v>
      </c>
      <c r="B17" s="16" t="s">
        <v>206</v>
      </c>
      <c r="C17" s="16">
        <v>1989</v>
      </c>
      <c r="D17" s="14" t="s">
        <v>131</v>
      </c>
      <c r="E17" s="5"/>
      <c r="F17" s="5"/>
      <c r="I17" s="25">
        <v>15</v>
      </c>
      <c r="J17" s="26" t="s">
        <v>50</v>
      </c>
      <c r="K17" s="26">
        <v>1974</v>
      </c>
      <c r="L17" s="30" t="s">
        <v>127</v>
      </c>
      <c r="M17" s="44"/>
      <c r="N17" s="5"/>
      <c r="Q17" s="15">
        <v>15</v>
      </c>
      <c r="R17" s="16" t="s">
        <v>53</v>
      </c>
      <c r="S17" s="16">
        <v>1996</v>
      </c>
      <c r="T17" s="14" t="s">
        <v>13</v>
      </c>
      <c r="Y17" s="297">
        <v>15</v>
      </c>
      <c r="Z17" s="301" t="s">
        <v>85</v>
      </c>
      <c r="AA17" s="301">
        <v>1989</v>
      </c>
      <c r="AB17" s="301" t="s">
        <v>131</v>
      </c>
      <c r="AC17" s="302" t="s">
        <v>810</v>
      </c>
      <c r="AD17" s="244"/>
      <c r="AF17" s="252">
        <v>15</v>
      </c>
      <c r="AG17" s="255" t="s">
        <v>42</v>
      </c>
      <c r="AH17" s="255">
        <v>1992</v>
      </c>
      <c r="AI17" s="255" t="s">
        <v>113</v>
      </c>
      <c r="AJ17" s="256" t="s">
        <v>186</v>
      </c>
      <c r="AL17" s="44" t="s">
        <v>239</v>
      </c>
    </row>
    <row r="18" spans="1:42" ht="20.100000000000001" customHeight="1">
      <c r="A18" s="15">
        <v>16</v>
      </c>
      <c r="B18" s="16" t="s">
        <v>54</v>
      </c>
      <c r="C18" s="16">
        <v>1996</v>
      </c>
      <c r="D18" s="14" t="s">
        <v>13</v>
      </c>
      <c r="E18" s="5"/>
      <c r="F18" s="5"/>
      <c r="I18" s="25">
        <v>16</v>
      </c>
      <c r="J18" s="26" t="s">
        <v>52</v>
      </c>
      <c r="K18" s="26">
        <v>1989</v>
      </c>
      <c r="L18" s="30" t="s">
        <v>18</v>
      </c>
      <c r="M18" s="5"/>
      <c r="N18" s="5"/>
      <c r="Q18" s="15">
        <v>16</v>
      </c>
      <c r="R18" s="16" t="s">
        <v>56</v>
      </c>
      <c r="S18" s="16">
        <v>1988</v>
      </c>
      <c r="T18" s="14" t="s">
        <v>13</v>
      </c>
      <c r="Y18" s="297">
        <v>16</v>
      </c>
      <c r="Z18" s="301" t="s">
        <v>17</v>
      </c>
      <c r="AA18" s="301">
        <v>1989</v>
      </c>
      <c r="AB18" s="301" t="s">
        <v>131</v>
      </c>
      <c r="AC18" s="302" t="s">
        <v>810</v>
      </c>
      <c r="AD18" s="244"/>
      <c r="AE18" s="5"/>
      <c r="AF18" s="25">
        <v>16</v>
      </c>
      <c r="AG18" s="248" t="s">
        <v>205</v>
      </c>
      <c r="AH18" s="248">
        <v>1974</v>
      </c>
      <c r="AI18" s="248" t="s">
        <v>127</v>
      </c>
      <c r="AJ18" s="254" t="s">
        <v>432</v>
      </c>
      <c r="AL18" s="44" t="s">
        <v>240</v>
      </c>
    </row>
    <row r="19" spans="1:42" ht="20.100000000000001" customHeight="1" thickBot="1">
      <c r="A19" s="15">
        <v>17</v>
      </c>
      <c r="B19" s="94" t="s">
        <v>162</v>
      </c>
      <c r="C19" s="94">
        <v>1994</v>
      </c>
      <c r="D19" s="95" t="s">
        <v>18</v>
      </c>
      <c r="E19" s="5"/>
      <c r="F19" s="5"/>
      <c r="I19" s="25">
        <v>17</v>
      </c>
      <c r="J19" s="237" t="s">
        <v>182</v>
      </c>
      <c r="K19" s="237">
        <v>1989</v>
      </c>
      <c r="L19" s="238" t="s">
        <v>18</v>
      </c>
      <c r="M19" s="5"/>
      <c r="N19" s="5"/>
      <c r="Q19" s="15">
        <v>17</v>
      </c>
      <c r="R19" s="16" t="s">
        <v>58</v>
      </c>
      <c r="S19" s="16">
        <v>1992</v>
      </c>
      <c r="T19" s="14" t="s">
        <v>13</v>
      </c>
      <c r="Y19" s="297">
        <v>17</v>
      </c>
      <c r="Z19" s="301" t="s">
        <v>105</v>
      </c>
      <c r="AA19" s="301">
        <v>1974</v>
      </c>
      <c r="AB19" s="301" t="s">
        <v>15</v>
      </c>
      <c r="AC19" s="302" t="s">
        <v>810</v>
      </c>
      <c r="AD19" s="244"/>
      <c r="AE19" s="5"/>
      <c r="AF19" s="25">
        <v>17</v>
      </c>
      <c r="AG19" s="248" t="s">
        <v>207</v>
      </c>
      <c r="AH19" s="248">
        <v>1998</v>
      </c>
      <c r="AI19" s="248" t="s">
        <v>113</v>
      </c>
      <c r="AJ19" s="257" t="s">
        <v>186</v>
      </c>
      <c r="AL19" s="44" t="s">
        <v>313</v>
      </c>
    </row>
    <row r="20" spans="1:42" ht="20.100000000000001" customHeight="1" thickBot="1">
      <c r="A20" s="15">
        <v>18</v>
      </c>
      <c r="B20" s="94" t="s">
        <v>166</v>
      </c>
      <c r="C20" s="94">
        <v>1995</v>
      </c>
      <c r="D20" s="95" t="s">
        <v>18</v>
      </c>
      <c r="E20" s="5"/>
      <c r="F20" s="307" t="s">
        <v>3</v>
      </c>
      <c r="G20" s="308"/>
      <c r="I20" s="25">
        <v>18</v>
      </c>
      <c r="J20" s="137" t="s">
        <v>611</v>
      </c>
      <c r="K20" s="137">
        <v>1974</v>
      </c>
      <c r="L20" s="141" t="s">
        <v>15</v>
      </c>
      <c r="M20" s="5"/>
      <c r="N20" s="307" t="s">
        <v>4</v>
      </c>
      <c r="O20" s="308"/>
      <c r="Q20" s="15">
        <v>18</v>
      </c>
      <c r="R20" s="16" t="s">
        <v>60</v>
      </c>
      <c r="S20" s="16">
        <v>1996</v>
      </c>
      <c r="T20" s="14" t="s">
        <v>13</v>
      </c>
      <c r="V20" s="307" t="s">
        <v>5</v>
      </c>
      <c r="W20" s="308"/>
      <c r="Y20" s="222">
        <v>18</v>
      </c>
      <c r="Z20" s="222" t="s">
        <v>260</v>
      </c>
      <c r="AA20" s="222">
        <v>1989</v>
      </c>
      <c r="AB20" s="222" t="s">
        <v>18</v>
      </c>
      <c r="AC20" s="242" t="s">
        <v>822</v>
      </c>
      <c r="AD20" s="244"/>
      <c r="AE20" s="5"/>
      <c r="AF20" s="219">
        <v>18</v>
      </c>
      <c r="AG20" s="250" t="s">
        <v>481</v>
      </c>
      <c r="AH20" s="250">
        <v>1994</v>
      </c>
      <c r="AI20" s="250" t="s">
        <v>131</v>
      </c>
      <c r="AJ20" s="258" t="s">
        <v>186</v>
      </c>
      <c r="AL20" s="44" t="s">
        <v>314</v>
      </c>
    </row>
    <row r="21" spans="1:42" ht="20.100000000000001" customHeight="1" thickBot="1">
      <c r="A21" s="15">
        <v>19</v>
      </c>
      <c r="B21" s="94" t="s">
        <v>193</v>
      </c>
      <c r="C21" s="94">
        <v>1995</v>
      </c>
      <c r="D21" s="95" t="s">
        <v>18</v>
      </c>
      <c r="E21" s="5"/>
      <c r="F21" s="6" t="s">
        <v>10</v>
      </c>
      <c r="G21" s="8" t="s">
        <v>62</v>
      </c>
      <c r="I21" s="25">
        <v>19</v>
      </c>
      <c r="J21" s="94">
        <v>96320326</v>
      </c>
      <c r="K21" s="94">
        <v>1996</v>
      </c>
      <c r="L21" s="95" t="s">
        <v>129</v>
      </c>
      <c r="M21" s="5"/>
      <c r="N21" s="6" t="s">
        <v>10</v>
      </c>
      <c r="O21" s="8" t="s">
        <v>62</v>
      </c>
      <c r="Q21" s="15">
        <v>19</v>
      </c>
      <c r="R21" s="16" t="s">
        <v>137</v>
      </c>
      <c r="S21" s="26">
        <v>1988</v>
      </c>
      <c r="T21" s="30" t="s">
        <v>113</v>
      </c>
      <c r="V21" s="6" t="s">
        <v>10</v>
      </c>
      <c r="W21" s="8" t="s">
        <v>62</v>
      </c>
      <c r="Y21" s="293">
        <v>19</v>
      </c>
      <c r="Z21" s="293" t="s">
        <v>189</v>
      </c>
      <c r="AA21" s="293">
        <v>1993</v>
      </c>
      <c r="AB21" s="293" t="s">
        <v>15</v>
      </c>
      <c r="AC21" s="294" t="s">
        <v>791</v>
      </c>
      <c r="AD21" s="244"/>
      <c r="AF21" s="101" t="s">
        <v>746</v>
      </c>
      <c r="AG21" s="270" t="s">
        <v>510</v>
      </c>
      <c r="AH21" s="270">
        <v>1988</v>
      </c>
      <c r="AI21" s="270" t="s">
        <v>131</v>
      </c>
      <c r="AJ21" s="271" t="s">
        <v>669</v>
      </c>
    </row>
    <row r="22" spans="1:42" ht="20.100000000000001" customHeight="1">
      <c r="A22" s="15">
        <v>20</v>
      </c>
      <c r="B22" s="259" t="s">
        <v>761</v>
      </c>
      <c r="C22" s="260">
        <v>1988</v>
      </c>
      <c r="D22" s="261" t="s">
        <v>18</v>
      </c>
      <c r="E22" s="5"/>
      <c r="F22" s="13" t="s">
        <v>13</v>
      </c>
      <c r="G22" s="19">
        <f>COUNTIF($D$3:$D$26,F22)</f>
        <v>12</v>
      </c>
      <c r="I22" s="25">
        <v>20</v>
      </c>
      <c r="J22" s="94" t="s">
        <v>441</v>
      </c>
      <c r="K22" s="94">
        <v>1992</v>
      </c>
      <c r="L22" s="95" t="s">
        <v>13</v>
      </c>
      <c r="M22" s="5"/>
      <c r="N22" s="13" t="s">
        <v>13</v>
      </c>
      <c r="O22" s="19">
        <f>COUNTIF($L$3:$L$26,N22)</f>
        <v>9</v>
      </c>
      <c r="Q22" s="25">
        <v>20</v>
      </c>
      <c r="R22" s="26" t="s">
        <v>263</v>
      </c>
      <c r="S22" s="26">
        <v>1974</v>
      </c>
      <c r="T22" s="30" t="s">
        <v>127</v>
      </c>
      <c r="V22" s="13" t="s">
        <v>13</v>
      </c>
      <c r="W22" s="19">
        <f>COUNTIF($T$3:$T$26,V22)</f>
        <v>14</v>
      </c>
      <c r="Y22" s="293">
        <v>20</v>
      </c>
      <c r="Z22" s="293" t="s">
        <v>820</v>
      </c>
      <c r="AA22" s="293">
        <v>1994</v>
      </c>
      <c r="AB22" s="293" t="s">
        <v>13</v>
      </c>
      <c r="AC22" s="294" t="s">
        <v>791</v>
      </c>
      <c r="AD22" s="244"/>
      <c r="AE22" s="5"/>
      <c r="AF22" s="25" t="s">
        <v>746</v>
      </c>
      <c r="AG22" s="248" t="s">
        <v>740</v>
      </c>
      <c r="AH22" s="248">
        <v>1977</v>
      </c>
      <c r="AI22" s="248" t="s">
        <v>741</v>
      </c>
      <c r="AJ22" s="254" t="s">
        <v>742</v>
      </c>
    </row>
    <row r="23" spans="1:42" ht="20.100000000000001" customHeight="1" thickBot="1">
      <c r="A23" s="25">
        <v>21</v>
      </c>
      <c r="B23" s="137" t="s">
        <v>768</v>
      </c>
      <c r="C23" s="137">
        <v>1974</v>
      </c>
      <c r="D23" s="141" t="s">
        <v>127</v>
      </c>
      <c r="E23" s="5"/>
      <c r="F23" s="15" t="s">
        <v>18</v>
      </c>
      <c r="G23" s="19">
        <f>COUNTIF($D$3:$D$26,F23)</f>
        <v>10</v>
      </c>
      <c r="I23" s="25">
        <v>21</v>
      </c>
      <c r="J23" s="137" t="s">
        <v>394</v>
      </c>
      <c r="K23" s="137">
        <v>1996</v>
      </c>
      <c r="L23" s="141" t="s">
        <v>113</v>
      </c>
      <c r="M23" s="5"/>
      <c r="N23" s="15" t="s">
        <v>18</v>
      </c>
      <c r="O23" s="19">
        <f>COUNTIF($L$3:$L$26,N23)</f>
        <v>5</v>
      </c>
      <c r="Q23" s="25">
        <v>21</v>
      </c>
      <c r="R23" s="233" t="s">
        <v>752</v>
      </c>
      <c r="S23" s="233">
        <v>1974</v>
      </c>
      <c r="T23" s="234" t="s">
        <v>756</v>
      </c>
      <c r="V23" s="15" t="s">
        <v>18</v>
      </c>
      <c r="W23" s="19">
        <f>COUNTIF($T$3:$T$26,V23)</f>
        <v>2</v>
      </c>
      <c r="Y23" s="277">
        <v>21</v>
      </c>
      <c r="Z23" s="222" t="s">
        <v>749</v>
      </c>
      <c r="AA23" s="222">
        <v>1974</v>
      </c>
      <c r="AB23" s="222" t="s">
        <v>15</v>
      </c>
      <c r="AC23" s="242" t="s">
        <v>807</v>
      </c>
      <c r="AD23" s="273"/>
      <c r="AF23" s="40"/>
      <c r="AG23" s="248" t="s">
        <v>697</v>
      </c>
      <c r="AH23" s="248">
        <v>1989</v>
      </c>
      <c r="AI23" s="248" t="s">
        <v>13</v>
      </c>
      <c r="AJ23" s="66" t="s">
        <v>763</v>
      </c>
      <c r="AL23" s="275"/>
      <c r="AM23" s="222"/>
      <c r="AN23" s="222"/>
      <c r="AO23" s="253"/>
      <c r="AP23" s="242"/>
    </row>
    <row r="24" spans="1:42" ht="20.100000000000001" customHeight="1">
      <c r="A24" s="93">
        <v>22</v>
      </c>
      <c r="B24" s="94" t="s">
        <v>195</v>
      </c>
      <c r="C24" s="94">
        <v>1995</v>
      </c>
      <c r="D24" s="95" t="s">
        <v>18</v>
      </c>
      <c r="E24" s="5"/>
      <c r="F24" s="15" t="s">
        <v>15</v>
      </c>
      <c r="G24" s="19">
        <f>COUNTIF($D$3:$D$26,F24)</f>
        <v>2</v>
      </c>
      <c r="I24" s="25">
        <v>22</v>
      </c>
      <c r="J24" s="137" t="s">
        <v>654</v>
      </c>
      <c r="K24" s="137">
        <v>1992</v>
      </c>
      <c r="L24" s="141" t="s">
        <v>13</v>
      </c>
      <c r="M24" s="5"/>
      <c r="N24" s="15" t="s">
        <v>15</v>
      </c>
      <c r="O24" s="19">
        <f>COUNTIF($L$3:$L$26,N24)</f>
        <v>4</v>
      </c>
      <c r="Q24" s="25">
        <v>22</v>
      </c>
      <c r="R24" s="233" t="s">
        <v>107</v>
      </c>
      <c r="S24" s="233">
        <v>1973</v>
      </c>
      <c r="T24" s="234" t="s">
        <v>756</v>
      </c>
      <c r="V24" s="15" t="s">
        <v>15</v>
      </c>
      <c r="W24" s="19">
        <f>COUNTIF($T$3:$T$26,V24)</f>
        <v>4</v>
      </c>
      <c r="Y24" s="277">
        <v>22</v>
      </c>
      <c r="Z24" s="222" t="s">
        <v>35</v>
      </c>
      <c r="AA24" s="222">
        <v>1974</v>
      </c>
      <c r="AB24" s="222" t="s">
        <v>15</v>
      </c>
      <c r="AC24" s="277" t="s">
        <v>807</v>
      </c>
      <c r="AD24" s="273"/>
      <c r="AL24" s="276"/>
      <c r="AM24" s="243"/>
      <c r="AN24" s="243"/>
      <c r="AO24" s="253"/>
      <c r="AP24" s="242"/>
    </row>
    <row r="25" spans="1:42" ht="20.100000000000001" customHeight="1">
      <c r="A25" s="15">
        <v>23</v>
      </c>
      <c r="B25" s="16" t="s">
        <v>66</v>
      </c>
      <c r="C25" s="16">
        <v>1998</v>
      </c>
      <c r="D25" s="14" t="s">
        <v>13</v>
      </c>
      <c r="E25" s="5"/>
      <c r="F25" s="20" t="s">
        <v>61</v>
      </c>
      <c r="G25" s="19">
        <f>COUNTIF($D$3:$D$26,F25)</f>
        <v>0</v>
      </c>
      <c r="I25" s="25">
        <v>23</v>
      </c>
      <c r="J25" s="26" t="s">
        <v>320</v>
      </c>
      <c r="K25" s="26">
        <v>1988</v>
      </c>
      <c r="L25" s="30" t="s">
        <v>113</v>
      </c>
      <c r="M25" s="5"/>
      <c r="N25" s="20" t="s">
        <v>61</v>
      </c>
      <c r="O25" s="19">
        <f>COUNTIF($L$3:$L$26,N25)</f>
        <v>4</v>
      </c>
      <c r="Q25" s="15">
        <v>23</v>
      </c>
      <c r="R25" s="233" t="s">
        <v>753</v>
      </c>
      <c r="S25" s="233">
        <v>1974</v>
      </c>
      <c r="T25" s="234" t="s">
        <v>756</v>
      </c>
      <c r="V25" s="20" t="s">
        <v>61</v>
      </c>
      <c r="W25" s="21">
        <f>COUNTIF($T$3:$T$26,V25)</f>
        <v>0</v>
      </c>
      <c r="Y25" s="277">
        <v>23</v>
      </c>
      <c r="Z25" s="222" t="s">
        <v>63</v>
      </c>
      <c r="AA25" s="222">
        <v>1988</v>
      </c>
      <c r="AB25" s="222" t="s">
        <v>113</v>
      </c>
      <c r="AC25" s="242" t="s">
        <v>792</v>
      </c>
      <c r="AD25" s="285"/>
      <c r="AL25" s="277"/>
      <c r="AM25" s="222"/>
      <c r="AN25" s="222"/>
      <c r="AO25" s="253"/>
      <c r="AP25" s="242"/>
    </row>
    <row r="26" spans="1:42" ht="20.100000000000001" customHeight="1" thickBot="1">
      <c r="A26" s="17">
        <v>24</v>
      </c>
      <c r="B26" s="18" t="s">
        <v>67</v>
      </c>
      <c r="C26" s="18">
        <v>1996</v>
      </c>
      <c r="D26" s="22" t="s">
        <v>13</v>
      </c>
      <c r="E26" s="5"/>
      <c r="F26" s="17" t="s">
        <v>40</v>
      </c>
      <c r="G26" s="22">
        <f>COUNTIF($D$3:$D$26,F26)</f>
        <v>0</v>
      </c>
      <c r="I26" s="40">
        <v>24</v>
      </c>
      <c r="J26" s="35" t="s">
        <v>330</v>
      </c>
      <c r="K26" s="35">
        <v>1989</v>
      </c>
      <c r="L26" s="41" t="s">
        <v>131</v>
      </c>
      <c r="M26" s="5"/>
      <c r="N26" s="17" t="s">
        <v>40</v>
      </c>
      <c r="O26" s="22">
        <f>COUNTIF($L$3:$L$26,N26)</f>
        <v>1</v>
      </c>
      <c r="Q26" s="40">
        <v>24</v>
      </c>
      <c r="R26" s="235" t="s">
        <v>755</v>
      </c>
      <c r="S26" s="235">
        <v>1973</v>
      </c>
      <c r="T26" s="234" t="s">
        <v>756</v>
      </c>
      <c r="V26" s="17" t="s">
        <v>40</v>
      </c>
      <c r="W26" s="22">
        <f>COUNTIF($T$3:$T$26,V26)</f>
        <v>0</v>
      </c>
      <c r="Y26" s="277">
        <v>24</v>
      </c>
      <c r="Z26" s="222" t="s">
        <v>785</v>
      </c>
      <c r="AA26" s="222">
        <v>1992</v>
      </c>
      <c r="AB26" s="222" t="s">
        <v>113</v>
      </c>
      <c r="AC26" s="242" t="s">
        <v>792</v>
      </c>
      <c r="AD26" s="285"/>
      <c r="AE26" s="5" t="s">
        <v>9</v>
      </c>
      <c r="AF26" s="278">
        <v>3</v>
      </c>
      <c r="AG26" s="279" t="s">
        <v>771</v>
      </c>
      <c r="AH26" s="279">
        <v>1996</v>
      </c>
      <c r="AI26" s="279" t="s">
        <v>113</v>
      </c>
      <c r="AJ26" s="280" t="s">
        <v>806</v>
      </c>
      <c r="AL26" s="277"/>
      <c r="AM26" s="222"/>
      <c r="AN26" s="222"/>
      <c r="AO26" s="222"/>
      <c r="AP26" s="281"/>
    </row>
    <row r="27" spans="1:42" ht="20.100000000000001" customHeight="1" thickBot="1">
      <c r="A27" s="5"/>
      <c r="B27" s="5"/>
      <c r="C27" s="5"/>
      <c r="D27" s="5"/>
      <c r="E27" s="5"/>
      <c r="F27" s="5"/>
      <c r="G27" s="5"/>
      <c r="I27" s="44"/>
      <c r="J27" s="44"/>
      <c r="K27" s="44"/>
      <c r="L27" s="44"/>
      <c r="M27" s="5"/>
      <c r="N27" s="5"/>
      <c r="O27" s="5"/>
      <c r="Q27" s="44"/>
      <c r="R27" s="84"/>
      <c r="S27" s="84"/>
      <c r="T27" s="84"/>
      <c r="V27" s="5"/>
      <c r="W27" s="5"/>
      <c r="Y27" s="277">
        <v>25</v>
      </c>
      <c r="Z27" s="222" t="s">
        <v>190</v>
      </c>
      <c r="AA27" s="222">
        <v>1995</v>
      </c>
      <c r="AB27" s="222" t="s">
        <v>131</v>
      </c>
      <c r="AC27" s="222" t="s">
        <v>792</v>
      </c>
      <c r="AD27" s="285"/>
      <c r="AE27" s="5"/>
      <c r="AG27" s="240"/>
      <c r="AH27" s="240"/>
      <c r="AI27" s="240"/>
      <c r="AJ27" s="241"/>
      <c r="AL27" s="277"/>
      <c r="AM27" s="222"/>
      <c r="AN27" s="222"/>
      <c r="AO27" s="253"/>
      <c r="AP27" s="282"/>
    </row>
    <row r="28" spans="1:42" ht="20.100000000000001" customHeight="1" thickBot="1">
      <c r="A28" s="5"/>
      <c r="B28" s="5"/>
      <c r="C28" s="5"/>
      <c r="D28" s="5"/>
      <c r="E28" s="5"/>
      <c r="F28" s="5"/>
      <c r="G28" s="5"/>
      <c r="I28" s="44"/>
      <c r="J28" s="44"/>
      <c r="K28" s="44"/>
      <c r="L28" s="44"/>
      <c r="M28" s="5"/>
      <c r="N28" s="5"/>
      <c r="O28" s="5"/>
      <c r="Q28" s="44"/>
      <c r="R28" s="84"/>
      <c r="S28" s="44"/>
      <c r="T28" s="44"/>
      <c r="U28" s="44"/>
      <c r="V28" s="5"/>
      <c r="W28" s="5"/>
      <c r="Y28" s="277">
        <v>26</v>
      </c>
      <c r="Z28" s="222" t="s">
        <v>790</v>
      </c>
      <c r="AA28" s="222">
        <v>1992</v>
      </c>
      <c r="AB28" s="222" t="s">
        <v>113</v>
      </c>
      <c r="AC28" s="222" t="s">
        <v>792</v>
      </c>
      <c r="AD28" s="285"/>
      <c r="AE28" s="5"/>
      <c r="AL28" s="277"/>
      <c r="AM28" s="222"/>
      <c r="AN28" s="281"/>
      <c r="AO28" s="243"/>
      <c r="AP28" s="281"/>
    </row>
    <row r="29" spans="1:42" ht="20.100000000000001" customHeight="1" thickBot="1">
      <c r="A29" s="5"/>
      <c r="B29" s="5"/>
      <c r="C29" s="5"/>
      <c r="D29" s="5"/>
      <c r="E29" s="5"/>
      <c r="F29" s="5"/>
      <c r="G29" s="5"/>
      <c r="I29" s="44"/>
      <c r="J29" s="44"/>
      <c r="K29" s="44"/>
      <c r="L29" s="44"/>
      <c r="M29" s="5"/>
      <c r="N29" s="5"/>
      <c r="O29" s="5"/>
      <c r="Q29" s="44"/>
      <c r="R29" s="84"/>
      <c r="S29" s="84"/>
      <c r="T29" s="84"/>
      <c r="V29" s="5"/>
      <c r="W29" s="5"/>
      <c r="Y29" s="277">
        <v>27</v>
      </c>
      <c r="Z29" s="222">
        <v>9134547</v>
      </c>
      <c r="AA29" s="222" t="s">
        <v>808</v>
      </c>
      <c r="AB29" s="222" t="s">
        <v>808</v>
      </c>
      <c r="AC29" s="277" t="s">
        <v>792</v>
      </c>
      <c r="AD29" s="285"/>
      <c r="AE29" s="5"/>
      <c r="AG29" s="239"/>
      <c r="AH29" s="26">
        <v>8833344</v>
      </c>
      <c r="AI29" s="26">
        <v>1988</v>
      </c>
      <c r="AJ29" s="26" t="s">
        <v>129</v>
      </c>
      <c r="AK29" s="30" t="s">
        <v>186</v>
      </c>
      <c r="AL29" s="277"/>
      <c r="AM29" s="222"/>
      <c r="AN29" s="222"/>
      <c r="AO29" s="253"/>
      <c r="AP29" s="282"/>
    </row>
    <row r="30" spans="1:42" ht="20.100000000000001" customHeight="1" thickBot="1">
      <c r="A30" s="5"/>
      <c r="B30" s="5"/>
      <c r="C30" s="5"/>
      <c r="D30" s="5"/>
      <c r="E30" s="5"/>
      <c r="F30" s="5"/>
      <c r="G30" s="5"/>
      <c r="I30" s="44"/>
      <c r="J30" s="44"/>
      <c r="K30" s="44"/>
      <c r="L30" s="44"/>
      <c r="M30" s="5"/>
      <c r="N30" s="5"/>
      <c r="O30" s="5"/>
      <c r="Q30" s="44"/>
      <c r="R30" s="44"/>
      <c r="S30" s="44"/>
      <c r="T30" s="44"/>
      <c r="V30" s="5"/>
      <c r="W30" s="5"/>
      <c r="Y30" s="288"/>
      <c r="Z30" s="289"/>
      <c r="AA30" s="290"/>
      <c r="AB30" s="291"/>
      <c r="AC30" s="290"/>
      <c r="AD30" s="274"/>
      <c r="AE30" s="5"/>
      <c r="AF30" s="5"/>
      <c r="AG30" s="239"/>
      <c r="AH30" s="222" t="s">
        <v>42</v>
      </c>
      <c r="AI30" s="222">
        <v>1992</v>
      </c>
      <c r="AJ30" s="222" t="s">
        <v>113</v>
      </c>
      <c r="AK30" s="253" t="s">
        <v>186</v>
      </c>
      <c r="AL30" s="240"/>
      <c r="AM30" s="241"/>
    </row>
    <row r="31" spans="1:42" ht="20.100000000000001" customHeight="1" thickBot="1">
      <c r="Y31" s="5"/>
      <c r="Z31" s="239"/>
      <c r="AA31" s="239"/>
      <c r="AB31" s="239"/>
      <c r="AC31" s="244"/>
      <c r="AE31" s="5">
        <v>1973</v>
      </c>
      <c r="AF31" s="5"/>
      <c r="AG31" s="5"/>
      <c r="AH31" s="248" t="s">
        <v>697</v>
      </c>
      <c r="AI31" s="248">
        <v>1989</v>
      </c>
      <c r="AJ31" s="248" t="s">
        <v>13</v>
      </c>
      <c r="AK31" s="66" t="s">
        <v>763</v>
      </c>
      <c r="AL31" s="240"/>
      <c r="AM31" s="241"/>
    </row>
    <row r="32" spans="1:42" ht="20.100000000000001" customHeight="1" thickBot="1">
      <c r="A32" s="312" t="s">
        <v>69</v>
      </c>
      <c r="B32" s="313"/>
      <c r="C32" s="313"/>
      <c r="D32" s="314"/>
      <c r="I32" s="312" t="s">
        <v>70</v>
      </c>
      <c r="J32" s="313"/>
      <c r="K32" s="313"/>
      <c r="L32" s="314"/>
      <c r="Q32" s="312" t="s">
        <v>71</v>
      </c>
      <c r="R32" s="313"/>
      <c r="S32" s="313"/>
      <c r="T32" s="314"/>
      <c r="Y32" s="5"/>
      <c r="Z32" s="315" t="s">
        <v>103</v>
      </c>
      <c r="AA32" s="316"/>
      <c r="AB32" s="315" t="s">
        <v>6</v>
      </c>
      <c r="AC32" s="316"/>
      <c r="AE32" s="5">
        <v>1974</v>
      </c>
      <c r="AF32" s="5"/>
      <c r="AG32" s="5"/>
      <c r="AJ32" s="240"/>
      <c r="AK32" s="240"/>
      <c r="AL32" s="240"/>
      <c r="AM32" s="241"/>
    </row>
    <row r="33" spans="1:39" ht="20.100000000000001" customHeight="1" thickBot="1">
      <c r="A33" s="1" t="s">
        <v>7</v>
      </c>
      <c r="B33" s="2" t="s">
        <v>8</v>
      </c>
      <c r="C33" s="2" t="s">
        <v>9</v>
      </c>
      <c r="D33" s="3" t="s">
        <v>10</v>
      </c>
      <c r="E33" s="5"/>
      <c r="F33" s="5"/>
      <c r="I33" s="6" t="s">
        <v>7</v>
      </c>
      <c r="J33" s="7" t="s">
        <v>8</v>
      </c>
      <c r="K33" s="7" t="s">
        <v>9</v>
      </c>
      <c r="L33" s="8" t="s">
        <v>10</v>
      </c>
      <c r="M33" s="5"/>
      <c r="N33" s="5"/>
      <c r="Q33" s="1" t="s">
        <v>7</v>
      </c>
      <c r="R33" s="2" t="s">
        <v>8</v>
      </c>
      <c r="S33" s="2" t="s">
        <v>9</v>
      </c>
      <c r="T33" s="3" t="s">
        <v>10</v>
      </c>
      <c r="Y33" s="5"/>
      <c r="Z33" s="6" t="s">
        <v>10</v>
      </c>
      <c r="AA33" s="8" t="s">
        <v>62</v>
      </c>
      <c r="AB33" s="6" t="s">
        <v>10</v>
      </c>
      <c r="AC33" s="102" t="s">
        <v>62</v>
      </c>
      <c r="AE33" s="5">
        <v>1975</v>
      </c>
      <c r="AF33" s="5">
        <f t="shared" ref="AF33:AF47" si="0">COUNTIF($A:$AC,AE31)</f>
        <v>6</v>
      </c>
      <c r="AG33" s="5"/>
      <c r="AH33" s="239"/>
      <c r="AI33" s="239"/>
      <c r="AJ33" s="240"/>
      <c r="AK33" s="240"/>
      <c r="AL33" s="240"/>
      <c r="AM33" s="241"/>
    </row>
    <row r="34" spans="1:39" ht="20.100000000000001" customHeight="1">
      <c r="A34" s="10">
        <v>1</v>
      </c>
      <c r="B34" s="94" t="s">
        <v>775</v>
      </c>
      <c r="C34" s="94">
        <v>1974</v>
      </c>
      <c r="D34" s="94" t="s">
        <v>15</v>
      </c>
      <c r="E34" s="5"/>
      <c r="F34" s="5"/>
      <c r="I34" s="13">
        <v>1</v>
      </c>
      <c r="J34" s="47" t="s">
        <v>303</v>
      </c>
      <c r="K34" s="47">
        <v>1994</v>
      </c>
      <c r="L34" s="19" t="s">
        <v>113</v>
      </c>
      <c r="M34" s="5"/>
      <c r="N34" s="5"/>
      <c r="Q34" s="16">
        <v>1</v>
      </c>
      <c r="R34" s="16" t="s">
        <v>216</v>
      </c>
      <c r="S34" s="16">
        <v>1988</v>
      </c>
      <c r="T34" s="16" t="s">
        <v>113</v>
      </c>
      <c r="Y34" s="39"/>
      <c r="Z34" s="13" t="s">
        <v>13</v>
      </c>
      <c r="AA34" s="19">
        <f>G22+O22+W22+G53+O53+W53</f>
        <v>71</v>
      </c>
      <c r="AB34" s="13" t="s">
        <v>13</v>
      </c>
      <c r="AC34" s="103">
        <f>COUNTIF($AB$3:$AB$26,AB34)</f>
        <v>6</v>
      </c>
      <c r="AE34" s="5">
        <v>1977</v>
      </c>
      <c r="AF34" s="5">
        <f t="shared" si="0"/>
        <v>35</v>
      </c>
      <c r="AG34" s="277">
        <v>23</v>
      </c>
      <c r="AH34" s="222" t="s">
        <v>35</v>
      </c>
      <c r="AI34" s="222">
        <v>1974</v>
      </c>
      <c r="AJ34" s="253" t="s">
        <v>15</v>
      </c>
      <c r="AK34" s="242" t="s">
        <v>791</v>
      </c>
      <c r="AL34" s="240"/>
      <c r="AM34" s="241"/>
    </row>
    <row r="35" spans="1:39" ht="20.100000000000001" customHeight="1">
      <c r="A35" s="15">
        <v>2</v>
      </c>
      <c r="B35" s="16" t="s">
        <v>72</v>
      </c>
      <c r="C35" s="16">
        <v>1975</v>
      </c>
      <c r="D35" s="14" t="s">
        <v>15</v>
      </c>
      <c r="E35" s="5"/>
      <c r="F35" s="5"/>
      <c r="I35" s="15">
        <v>2</v>
      </c>
      <c r="J35" s="16" t="s">
        <v>302</v>
      </c>
      <c r="K35" s="16">
        <v>1992</v>
      </c>
      <c r="L35" s="14" t="s">
        <v>113</v>
      </c>
      <c r="M35" s="5"/>
      <c r="N35" s="5"/>
      <c r="Q35" s="16">
        <v>2</v>
      </c>
      <c r="R35" s="284">
        <v>64057</v>
      </c>
      <c r="S35" s="284">
        <v>1977</v>
      </c>
      <c r="T35" s="284" t="s">
        <v>40</v>
      </c>
      <c r="Y35" s="39"/>
      <c r="Z35" s="15" t="s">
        <v>18</v>
      </c>
      <c r="AA35" s="19">
        <f>G23+O23+W23+G54+O54+W54</f>
        <v>26</v>
      </c>
      <c r="AB35" s="15" t="s">
        <v>18</v>
      </c>
      <c r="AC35" s="103">
        <f>COUNTIF($AB$3:$AB$26,AB35)</f>
        <v>6</v>
      </c>
      <c r="AE35" s="5">
        <v>1987</v>
      </c>
      <c r="AF35" s="5">
        <f t="shared" si="0"/>
        <v>1</v>
      </c>
      <c r="AG35" s="5"/>
      <c r="AJ35" s="240"/>
      <c r="AK35" s="240"/>
      <c r="AL35" s="240"/>
      <c r="AM35" s="241"/>
    </row>
    <row r="36" spans="1:39" ht="20.100000000000001" customHeight="1">
      <c r="A36" s="15">
        <v>3</v>
      </c>
      <c r="B36" s="16" t="s">
        <v>73</v>
      </c>
      <c r="C36" s="16">
        <v>1974</v>
      </c>
      <c r="D36" s="14" t="s">
        <v>15</v>
      </c>
      <c r="E36" s="5"/>
      <c r="F36" s="5"/>
      <c r="I36" s="15">
        <v>3</v>
      </c>
      <c r="J36" s="16" t="s">
        <v>301</v>
      </c>
      <c r="K36" s="16">
        <v>1988</v>
      </c>
      <c r="L36" s="14" t="s">
        <v>113</v>
      </c>
      <c r="M36" s="5"/>
      <c r="N36" s="5"/>
      <c r="Q36" s="16">
        <v>3</v>
      </c>
      <c r="R36" s="26" t="s">
        <v>32</v>
      </c>
      <c r="S36" s="16">
        <v>1973</v>
      </c>
      <c r="T36" s="16" t="s">
        <v>15</v>
      </c>
      <c r="Z36" s="15" t="s">
        <v>15</v>
      </c>
      <c r="AA36" s="19">
        <f>G24+O24+W24+G55+O55+W55</f>
        <v>23</v>
      </c>
      <c r="AB36" s="15" t="s">
        <v>15</v>
      </c>
      <c r="AC36" s="103">
        <f>COUNTIF($AB$3:$AB$26,AB36)</f>
        <v>11</v>
      </c>
      <c r="AE36" s="5">
        <v>1988</v>
      </c>
      <c r="AF36" s="5">
        <f t="shared" si="0"/>
        <v>12</v>
      </c>
      <c r="AG36" s="5">
        <f>SUM(AF33:AF36)</f>
        <v>54</v>
      </c>
      <c r="AH36" s="23">
        <f>AG36/AF48</f>
        <v>0.30681818181818182</v>
      </c>
      <c r="AJ36" s="240"/>
      <c r="AK36" s="240"/>
      <c r="AL36" s="240"/>
      <c r="AM36" s="241"/>
    </row>
    <row r="37" spans="1:39" ht="20.100000000000001" customHeight="1">
      <c r="A37" s="15">
        <v>4</v>
      </c>
      <c r="B37" s="94">
        <v>96320368</v>
      </c>
      <c r="C37" s="94">
        <v>1996</v>
      </c>
      <c r="D37" s="95" t="s">
        <v>129</v>
      </c>
      <c r="E37" s="5"/>
      <c r="F37" s="5"/>
      <c r="I37" s="15">
        <v>4</v>
      </c>
      <c r="J37" s="16" t="s">
        <v>300</v>
      </c>
      <c r="K37" s="16">
        <v>1994</v>
      </c>
      <c r="L37" s="14" t="s">
        <v>113</v>
      </c>
      <c r="M37" s="5"/>
      <c r="N37" s="5"/>
      <c r="Q37" s="16">
        <v>4</v>
      </c>
      <c r="R37" s="16" t="s">
        <v>75</v>
      </c>
      <c r="S37" s="16">
        <v>1989</v>
      </c>
      <c r="T37" s="16" t="s">
        <v>18</v>
      </c>
      <c r="Z37" s="20" t="s">
        <v>61</v>
      </c>
      <c r="AA37" s="19">
        <f>G25+O25+W25+G56+O56+W56</f>
        <v>10</v>
      </c>
      <c r="AB37" s="20" t="s">
        <v>61</v>
      </c>
      <c r="AC37" s="103">
        <f>COUNTIF($AB$3:$AB$26,AB37)</f>
        <v>0</v>
      </c>
      <c r="AE37" s="5">
        <v>1989</v>
      </c>
      <c r="AF37" s="5">
        <f t="shared" si="0"/>
        <v>4</v>
      </c>
      <c r="AG37" s="5"/>
      <c r="AH37" s="23"/>
      <c r="AJ37" s="240"/>
      <c r="AK37" s="240"/>
      <c r="AL37" s="240"/>
      <c r="AM37" s="241"/>
    </row>
    <row r="38" spans="1:39" ht="20.100000000000001" customHeight="1" thickBot="1">
      <c r="A38" s="15">
        <v>5</v>
      </c>
      <c r="B38" s="16" t="s">
        <v>76</v>
      </c>
      <c r="C38" s="16">
        <v>1974</v>
      </c>
      <c r="D38" s="14" t="s">
        <v>15</v>
      </c>
      <c r="E38" s="5"/>
      <c r="F38" s="5"/>
      <c r="I38" s="15">
        <v>5</v>
      </c>
      <c r="J38" s="16" t="s">
        <v>299</v>
      </c>
      <c r="K38" s="16">
        <v>1974</v>
      </c>
      <c r="L38" s="14" t="s">
        <v>127</v>
      </c>
      <c r="M38" s="5"/>
      <c r="N38" s="5"/>
      <c r="Q38" s="16">
        <v>5</v>
      </c>
      <c r="R38" s="16">
        <v>7733026</v>
      </c>
      <c r="S38" s="26">
        <v>1977</v>
      </c>
      <c r="T38" s="26" t="s">
        <v>129</v>
      </c>
      <c r="Z38" s="20" t="s">
        <v>40</v>
      </c>
      <c r="AA38" s="24">
        <f>G26+O26+W26+G57+O57+W57</f>
        <v>6</v>
      </c>
      <c r="AB38" s="17" t="s">
        <v>40</v>
      </c>
      <c r="AC38" s="104">
        <f>COUNTIF($AB$3:$AB$26,AB38)</f>
        <v>1</v>
      </c>
      <c r="AE38" s="5">
        <v>1991</v>
      </c>
      <c r="AF38" s="5">
        <f t="shared" si="0"/>
        <v>26</v>
      </c>
      <c r="AG38" s="5"/>
      <c r="AH38" s="23"/>
      <c r="AJ38" s="240"/>
      <c r="AK38" s="240"/>
      <c r="AL38" s="240"/>
      <c r="AM38" s="241"/>
    </row>
    <row r="39" spans="1:39" ht="20.100000000000001" customHeight="1" thickBot="1">
      <c r="A39" s="15">
        <v>6</v>
      </c>
      <c r="B39" s="16" t="s">
        <v>77</v>
      </c>
      <c r="C39" s="16">
        <v>1988</v>
      </c>
      <c r="D39" s="14" t="s">
        <v>13</v>
      </c>
      <c r="E39" s="5"/>
      <c r="F39" s="5"/>
      <c r="I39" s="15">
        <v>6</v>
      </c>
      <c r="J39" s="16" t="s">
        <v>298</v>
      </c>
      <c r="K39" s="16">
        <v>1992</v>
      </c>
      <c r="L39" s="14" t="s">
        <v>113</v>
      </c>
      <c r="M39" s="5"/>
      <c r="N39" s="5"/>
      <c r="Q39" s="16">
        <v>6</v>
      </c>
      <c r="R39" s="284" t="s">
        <v>14</v>
      </c>
      <c r="S39" s="284">
        <v>1974</v>
      </c>
      <c r="T39" s="284" t="s">
        <v>15</v>
      </c>
      <c r="Z39" s="134" t="s">
        <v>97</v>
      </c>
      <c r="AA39" s="135">
        <f>SUM(AA34:AA38)</f>
        <v>136</v>
      </c>
      <c r="AB39" s="17" t="s">
        <v>97</v>
      </c>
      <c r="AC39" s="104">
        <f t="shared" ref="AC39" si="1">SUM(AC34:AC38)</f>
        <v>24</v>
      </c>
      <c r="AE39" s="5">
        <v>1992</v>
      </c>
      <c r="AF39" s="5">
        <f t="shared" si="0"/>
        <v>28</v>
      </c>
      <c r="AG39" s="5">
        <f>SUM(AF37:AF39)</f>
        <v>58</v>
      </c>
      <c r="AH39" s="23">
        <f>AG39/AF48</f>
        <v>0.32954545454545453</v>
      </c>
      <c r="AJ39" s="240"/>
      <c r="AK39" s="240"/>
      <c r="AL39" s="240"/>
      <c r="AM39" s="240"/>
    </row>
    <row r="40" spans="1:39" ht="20.100000000000001" customHeight="1" thickBot="1">
      <c r="A40" s="15">
        <v>7</v>
      </c>
      <c r="B40" s="137" t="s">
        <v>316</v>
      </c>
      <c r="C40" s="137">
        <v>1988</v>
      </c>
      <c r="D40" s="141" t="s">
        <v>113</v>
      </c>
      <c r="E40" s="5"/>
      <c r="F40" s="5"/>
      <c r="I40" s="15">
        <v>7</v>
      </c>
      <c r="J40" s="16" t="s">
        <v>297</v>
      </c>
      <c r="K40" s="16">
        <v>1989</v>
      </c>
      <c r="L40" s="14" t="s">
        <v>131</v>
      </c>
      <c r="M40" s="5"/>
      <c r="N40" s="5"/>
      <c r="Q40" s="16">
        <v>7</v>
      </c>
      <c r="R40" s="94" t="s">
        <v>106</v>
      </c>
      <c r="S40" s="94">
        <v>1974</v>
      </c>
      <c r="T40" s="94" t="s">
        <v>756</v>
      </c>
      <c r="AE40" s="5">
        <v>1993</v>
      </c>
      <c r="AF40" s="5">
        <f t="shared" si="0"/>
        <v>6</v>
      </c>
      <c r="AG40" s="5"/>
      <c r="AH40" s="23"/>
    </row>
    <row r="41" spans="1:39" ht="20.100000000000001" customHeight="1" thickBot="1">
      <c r="A41" s="15">
        <v>8</v>
      </c>
      <c r="B41" s="16" t="s">
        <v>79</v>
      </c>
      <c r="C41" s="16">
        <v>1988</v>
      </c>
      <c r="D41" s="14" t="s">
        <v>13</v>
      </c>
      <c r="E41" s="5"/>
      <c r="F41" s="5"/>
      <c r="I41" s="15">
        <v>8</v>
      </c>
      <c r="J41" s="16">
        <v>7733029</v>
      </c>
      <c r="K41" s="16">
        <v>1977</v>
      </c>
      <c r="L41" s="14" t="s">
        <v>129</v>
      </c>
      <c r="M41" s="5"/>
      <c r="N41" s="5"/>
      <c r="Q41" s="16">
        <v>8</v>
      </c>
      <c r="R41" s="233" t="s">
        <v>794</v>
      </c>
      <c r="S41" s="233">
        <v>1989</v>
      </c>
      <c r="T41" s="233" t="s">
        <v>795</v>
      </c>
      <c r="Z41" s="307" t="s">
        <v>9</v>
      </c>
      <c r="AA41" s="308"/>
      <c r="AE41" s="5">
        <v>1994</v>
      </c>
      <c r="AF41" s="5">
        <f t="shared" si="0"/>
        <v>18</v>
      </c>
      <c r="AG41" s="5"/>
      <c r="AH41" s="23"/>
    </row>
    <row r="42" spans="1:39" ht="20.100000000000001" customHeight="1" thickBot="1">
      <c r="A42" s="15">
        <v>9</v>
      </c>
      <c r="B42" s="16" t="s">
        <v>262</v>
      </c>
      <c r="C42" s="16">
        <v>1989</v>
      </c>
      <c r="D42" s="14" t="s">
        <v>18</v>
      </c>
      <c r="E42" s="5"/>
      <c r="F42" s="5"/>
      <c r="I42" s="15">
        <v>9</v>
      </c>
      <c r="J42" s="16" t="s">
        <v>296</v>
      </c>
      <c r="K42" s="16">
        <v>1992</v>
      </c>
      <c r="L42" s="14" t="s">
        <v>113</v>
      </c>
      <c r="M42" s="5"/>
      <c r="N42" s="5"/>
      <c r="Q42" s="16">
        <v>9</v>
      </c>
      <c r="R42" s="231" t="s">
        <v>318</v>
      </c>
      <c r="S42" s="231">
        <v>1988</v>
      </c>
      <c r="T42" s="231" t="s">
        <v>113</v>
      </c>
      <c r="Z42" s="6" t="s">
        <v>10</v>
      </c>
      <c r="AA42" s="8" t="s">
        <v>62</v>
      </c>
      <c r="AE42" s="5">
        <v>1995</v>
      </c>
      <c r="AF42" s="5">
        <f t="shared" si="0"/>
        <v>3</v>
      </c>
      <c r="AG42" s="5"/>
      <c r="AH42" s="23"/>
    </row>
    <row r="43" spans="1:39" ht="20.100000000000001" customHeight="1">
      <c r="A43" s="15">
        <v>10</v>
      </c>
      <c r="B43" s="16" t="s">
        <v>81</v>
      </c>
      <c r="C43" s="16">
        <v>1987</v>
      </c>
      <c r="D43" s="14" t="s">
        <v>13</v>
      </c>
      <c r="E43" s="5"/>
      <c r="F43" s="5"/>
      <c r="I43" s="15">
        <v>10</v>
      </c>
      <c r="J43" s="16" t="s">
        <v>295</v>
      </c>
      <c r="K43" s="16">
        <v>1989</v>
      </c>
      <c r="L43" s="14" t="s">
        <v>113</v>
      </c>
      <c r="M43" s="5"/>
      <c r="N43" s="5"/>
      <c r="Q43" s="16">
        <v>10</v>
      </c>
      <c r="R43" s="94" t="s">
        <v>45</v>
      </c>
      <c r="S43" s="94">
        <v>1987</v>
      </c>
      <c r="T43" s="94" t="s">
        <v>13</v>
      </c>
      <c r="Z43" s="13" t="s">
        <v>463</v>
      </c>
      <c r="AA43" s="19">
        <v>44</v>
      </c>
      <c r="AE43" s="5">
        <v>1996</v>
      </c>
      <c r="AF43" s="5">
        <f t="shared" si="0"/>
        <v>10</v>
      </c>
      <c r="AG43" s="5"/>
      <c r="AH43" s="23"/>
    </row>
    <row r="44" spans="1:39" ht="20.100000000000001" customHeight="1">
      <c r="A44" s="15">
        <v>11</v>
      </c>
      <c r="B44" s="236" t="s">
        <v>108</v>
      </c>
      <c r="C44" s="236">
        <v>1974</v>
      </c>
      <c r="D44" s="236" t="s">
        <v>756</v>
      </c>
      <c r="E44" s="5"/>
      <c r="F44" s="5"/>
      <c r="I44" s="15">
        <v>11</v>
      </c>
      <c r="J44" s="16" t="s">
        <v>294</v>
      </c>
      <c r="K44" s="16">
        <v>1988</v>
      </c>
      <c r="L44" s="14" t="s">
        <v>113</v>
      </c>
      <c r="M44" s="5"/>
      <c r="N44" s="5"/>
      <c r="Q44" s="16">
        <v>11</v>
      </c>
      <c r="R44" s="284" t="s">
        <v>773</v>
      </c>
      <c r="S44" s="284">
        <v>1989</v>
      </c>
      <c r="T44" s="284" t="s">
        <v>817</v>
      </c>
      <c r="Z44" s="15" t="s">
        <v>464</v>
      </c>
      <c r="AA44" s="19">
        <v>56</v>
      </c>
      <c r="AE44" s="5">
        <v>1997</v>
      </c>
      <c r="AF44" s="5">
        <f t="shared" si="0"/>
        <v>8</v>
      </c>
      <c r="AG44" s="5"/>
      <c r="AH44" s="23"/>
    </row>
    <row r="45" spans="1:39" ht="20.100000000000001" customHeight="1" thickBot="1">
      <c r="A45" s="15">
        <v>12</v>
      </c>
      <c r="B45" s="16" t="s">
        <v>83</v>
      </c>
      <c r="C45" s="16">
        <v>1992</v>
      </c>
      <c r="D45" s="14" t="s">
        <v>13</v>
      </c>
      <c r="E45" s="5"/>
      <c r="F45" s="5"/>
      <c r="I45" s="15">
        <v>12</v>
      </c>
      <c r="J45" s="16" t="s">
        <v>293</v>
      </c>
      <c r="K45" s="16">
        <v>1974</v>
      </c>
      <c r="L45" s="14" t="s">
        <v>127</v>
      </c>
      <c r="M45" s="5"/>
      <c r="N45" s="5"/>
      <c r="Q45" s="16">
        <v>12</v>
      </c>
      <c r="R45" s="16" t="s">
        <v>84</v>
      </c>
      <c r="S45" s="16">
        <v>1989</v>
      </c>
      <c r="T45" s="16" t="s">
        <v>18</v>
      </c>
      <c r="Z45" s="17" t="s">
        <v>465</v>
      </c>
      <c r="AA45" s="22">
        <v>64</v>
      </c>
      <c r="AE45" s="5">
        <v>1998</v>
      </c>
      <c r="AF45" s="5">
        <f t="shared" si="0"/>
        <v>12</v>
      </c>
      <c r="AH45" s="23">
        <f>AG47/AF48</f>
        <v>0.36363636363636365</v>
      </c>
    </row>
    <row r="46" spans="1:39" ht="20.100000000000001" customHeight="1" thickBot="1">
      <c r="A46" s="15">
        <v>13</v>
      </c>
      <c r="B46" s="137" t="s">
        <v>292</v>
      </c>
      <c r="C46" s="137">
        <v>1973</v>
      </c>
      <c r="D46" s="141" t="s">
        <v>127</v>
      </c>
      <c r="E46" s="5"/>
      <c r="F46" s="5"/>
      <c r="I46" s="15">
        <v>13</v>
      </c>
      <c r="J46" s="16">
        <v>59810</v>
      </c>
      <c r="K46" s="16">
        <v>1974</v>
      </c>
      <c r="L46" s="14" t="s">
        <v>177</v>
      </c>
      <c r="M46" s="5"/>
      <c r="N46" s="5"/>
      <c r="Q46" s="16">
        <v>13</v>
      </c>
      <c r="R46" s="284" t="s">
        <v>37</v>
      </c>
      <c r="S46" s="284">
        <v>1989</v>
      </c>
      <c r="T46" s="284" t="s">
        <v>113</v>
      </c>
      <c r="Z46" s="17" t="s">
        <v>466</v>
      </c>
      <c r="AA46" s="22">
        <v>164</v>
      </c>
      <c r="AE46" s="5" t="s">
        <v>466</v>
      </c>
      <c r="AF46" s="5">
        <f t="shared" si="0"/>
        <v>1</v>
      </c>
      <c r="AG46" s="5"/>
    </row>
    <row r="47" spans="1:39" ht="20.100000000000001" customHeight="1">
      <c r="A47" s="15">
        <v>14</v>
      </c>
      <c r="B47" s="16" t="s">
        <v>261</v>
      </c>
      <c r="C47" s="16">
        <v>1992</v>
      </c>
      <c r="D47" s="14" t="s">
        <v>13</v>
      </c>
      <c r="E47" s="5"/>
      <c r="F47" s="5"/>
      <c r="I47" s="15">
        <v>14</v>
      </c>
      <c r="J47" s="94" t="s">
        <v>311</v>
      </c>
      <c r="K47" s="94">
        <v>1995</v>
      </c>
      <c r="L47" s="95" t="s">
        <v>131</v>
      </c>
      <c r="M47" s="5"/>
      <c r="N47" s="5"/>
      <c r="Q47" s="16">
        <v>14</v>
      </c>
      <c r="R47" s="137" t="s">
        <v>247</v>
      </c>
      <c r="S47" s="137">
        <v>1998</v>
      </c>
      <c r="T47" s="137" t="s">
        <v>13</v>
      </c>
      <c r="AA47" s="70"/>
      <c r="AB47" s="5"/>
      <c r="AC47" s="5"/>
      <c r="AD47" s="5"/>
      <c r="AE47" s="5"/>
      <c r="AF47" s="5">
        <f t="shared" si="0"/>
        <v>6</v>
      </c>
      <c r="AG47" s="5">
        <f>SUM(AF40:AF47)</f>
        <v>64</v>
      </c>
    </row>
    <row r="48" spans="1:39" ht="20.100000000000001" customHeight="1">
      <c r="A48" s="15">
        <v>15</v>
      </c>
      <c r="B48" s="16">
        <v>7733007</v>
      </c>
      <c r="C48" s="16">
        <v>1977</v>
      </c>
      <c r="D48" s="14" t="s">
        <v>61</v>
      </c>
      <c r="E48" s="5"/>
      <c r="F48" s="5"/>
      <c r="I48" s="15">
        <v>15</v>
      </c>
      <c r="J48" s="16" t="s">
        <v>291</v>
      </c>
      <c r="K48" s="16">
        <v>1989</v>
      </c>
      <c r="L48" s="14" t="s">
        <v>131</v>
      </c>
      <c r="M48" s="5"/>
      <c r="N48" s="5"/>
      <c r="Q48" s="16">
        <v>15</v>
      </c>
      <c r="R48" s="16" t="s">
        <v>87</v>
      </c>
      <c r="S48" s="16">
        <v>1974</v>
      </c>
      <c r="T48" s="16" t="s">
        <v>15</v>
      </c>
      <c r="Z48" s="26"/>
      <c r="AA48" s="26"/>
      <c r="AB48" s="26"/>
      <c r="AC48" s="68"/>
      <c r="AF48" s="5">
        <f>SUM(AF33:AF47)</f>
        <v>176</v>
      </c>
      <c r="AG48" s="5"/>
    </row>
    <row r="49" spans="1:34" ht="20.100000000000001" customHeight="1">
      <c r="A49" s="15">
        <v>16</v>
      </c>
      <c r="B49" s="16" t="s">
        <v>88</v>
      </c>
      <c r="C49" s="16">
        <v>1988</v>
      </c>
      <c r="D49" s="14" t="s">
        <v>13</v>
      </c>
      <c r="E49" s="5"/>
      <c r="F49" s="5"/>
      <c r="I49" s="15">
        <v>16</v>
      </c>
      <c r="J49" s="16" t="s">
        <v>290</v>
      </c>
      <c r="K49" s="16">
        <v>1989</v>
      </c>
      <c r="L49" s="14" t="s">
        <v>113</v>
      </c>
      <c r="M49" s="5"/>
      <c r="N49" s="5"/>
      <c r="Q49" s="16">
        <v>16</v>
      </c>
      <c r="R49" s="16" t="s">
        <v>89</v>
      </c>
      <c r="S49" s="16">
        <v>1988</v>
      </c>
      <c r="T49" s="16" t="s">
        <v>13</v>
      </c>
      <c r="Z49" s="177" t="s">
        <v>662</v>
      </c>
      <c r="AA49" t="s">
        <v>665</v>
      </c>
      <c r="AB49" t="s">
        <v>667</v>
      </c>
      <c r="AC49" s="283" t="s">
        <v>813</v>
      </c>
      <c r="AD49" s="70" t="s">
        <v>814</v>
      </c>
      <c r="AG49" s="5"/>
    </row>
    <row r="50" spans="1:34" ht="20.100000000000001" customHeight="1" thickBot="1">
      <c r="A50" s="15">
        <v>17</v>
      </c>
      <c r="B50" s="16" t="s">
        <v>90</v>
      </c>
      <c r="C50" s="16">
        <v>1996</v>
      </c>
      <c r="D50" s="14" t="s">
        <v>13</v>
      </c>
      <c r="E50" s="5"/>
      <c r="F50" s="5"/>
      <c r="I50" s="15">
        <v>17</v>
      </c>
      <c r="J50" s="16">
        <v>64074</v>
      </c>
      <c r="K50" s="16">
        <v>1977</v>
      </c>
      <c r="L50" s="14" t="s">
        <v>177</v>
      </c>
      <c r="M50" s="5"/>
      <c r="N50" s="5"/>
      <c r="Q50" s="16">
        <v>17</v>
      </c>
      <c r="R50" s="16">
        <v>7432512</v>
      </c>
      <c r="S50" s="16">
        <v>1974</v>
      </c>
      <c r="T50" s="16" t="s">
        <v>129</v>
      </c>
      <c r="Z50" s="178" t="s">
        <v>663</v>
      </c>
      <c r="AA50" t="s">
        <v>664</v>
      </c>
      <c r="AB50" t="s">
        <v>666</v>
      </c>
    </row>
    <row r="51" spans="1:34" ht="20.100000000000001" customHeight="1" thickBot="1">
      <c r="A51" s="15">
        <v>18</v>
      </c>
      <c r="B51" s="16" t="s">
        <v>91</v>
      </c>
      <c r="C51" s="16">
        <v>1989</v>
      </c>
      <c r="D51" s="14" t="s">
        <v>13</v>
      </c>
      <c r="E51" s="5"/>
      <c r="F51" s="307" t="s">
        <v>69</v>
      </c>
      <c r="G51" s="308"/>
      <c r="I51" s="76">
        <v>18</v>
      </c>
      <c r="J51" s="77" t="s">
        <v>289</v>
      </c>
      <c r="K51" s="77">
        <v>1992</v>
      </c>
      <c r="L51" s="78" t="s">
        <v>113</v>
      </c>
      <c r="M51" s="5"/>
      <c r="N51" s="307" t="s">
        <v>70</v>
      </c>
      <c r="O51" s="308"/>
      <c r="Q51" s="26">
        <v>18</v>
      </c>
      <c r="R51" s="284" t="s">
        <v>68</v>
      </c>
      <c r="S51" s="284">
        <v>1973</v>
      </c>
      <c r="T51" s="284" t="s">
        <v>15</v>
      </c>
      <c r="V51" s="307" t="s">
        <v>71</v>
      </c>
      <c r="W51" s="308"/>
      <c r="Z51" s="136"/>
      <c r="AA51" t="s">
        <v>668</v>
      </c>
      <c r="AH51" s="46"/>
    </row>
    <row r="52" spans="1:34" ht="20.100000000000001" customHeight="1" thickBot="1">
      <c r="A52" s="15">
        <v>19</v>
      </c>
      <c r="B52" s="16">
        <v>65414</v>
      </c>
      <c r="C52" s="16">
        <v>1977</v>
      </c>
      <c r="D52" s="14" t="s">
        <v>40</v>
      </c>
      <c r="E52" s="5"/>
      <c r="F52" s="6" t="s">
        <v>10</v>
      </c>
      <c r="G52" s="8" t="s">
        <v>62</v>
      </c>
      <c r="I52" s="15">
        <v>19</v>
      </c>
      <c r="J52" s="16" t="s">
        <v>288</v>
      </c>
      <c r="K52" s="16">
        <v>1988</v>
      </c>
      <c r="L52" s="14" t="s">
        <v>131</v>
      </c>
      <c r="M52" s="5"/>
      <c r="N52" s="6" t="s">
        <v>10</v>
      </c>
      <c r="O52" s="8" t="s">
        <v>62</v>
      </c>
      <c r="Q52" s="26">
        <v>19</v>
      </c>
      <c r="R52" s="26" t="s">
        <v>264</v>
      </c>
      <c r="S52" s="26">
        <v>1988</v>
      </c>
      <c r="T52" s="26" t="s">
        <v>113</v>
      </c>
      <c r="V52" s="6" t="s">
        <v>10</v>
      </c>
      <c r="W52" s="8" t="s">
        <v>62</v>
      </c>
      <c r="Z52" s="245">
        <v>24</v>
      </c>
      <c r="AA52" s="246" t="s">
        <v>74</v>
      </c>
      <c r="AB52" s="246">
        <v>1988</v>
      </c>
      <c r="AC52" s="246" t="s">
        <v>13</v>
      </c>
      <c r="AD52" s="247" t="s">
        <v>763</v>
      </c>
      <c r="AH52" s="46"/>
    </row>
    <row r="53" spans="1:34" ht="20.100000000000001" customHeight="1">
      <c r="A53" s="15">
        <v>20</v>
      </c>
      <c r="B53" s="301" t="s">
        <v>20</v>
      </c>
      <c r="C53" s="301">
        <v>1988</v>
      </c>
      <c r="D53" s="301" t="s">
        <v>113</v>
      </c>
      <c r="E53" s="5"/>
      <c r="F53" s="13" t="s">
        <v>13</v>
      </c>
      <c r="G53" s="19">
        <f>COUNTIF($D$34:$D$57,F53)</f>
        <v>14</v>
      </c>
      <c r="I53" s="15">
        <v>20</v>
      </c>
      <c r="J53" s="16" t="s">
        <v>287</v>
      </c>
      <c r="K53" s="16">
        <v>1997</v>
      </c>
      <c r="L53" s="14" t="s">
        <v>113</v>
      </c>
      <c r="M53" s="5"/>
      <c r="N53" s="13" t="s">
        <v>13</v>
      </c>
      <c r="O53" s="19">
        <f>COUNTIF($L$34:$L$57,N53)</f>
        <v>12</v>
      </c>
      <c r="Q53" s="26">
        <v>20</v>
      </c>
      <c r="R53" s="236" t="s">
        <v>78</v>
      </c>
      <c r="S53" s="236">
        <v>1988</v>
      </c>
      <c r="T53" s="236" t="s">
        <v>13</v>
      </c>
      <c r="U53" s="74"/>
      <c r="V53" s="13" t="s">
        <v>13</v>
      </c>
      <c r="W53" s="19">
        <f>COUNTIF($T$34:$T$57,V53)</f>
        <v>10</v>
      </c>
      <c r="Z53" s="245">
        <v>25</v>
      </c>
      <c r="AA53" s="246" t="s">
        <v>35</v>
      </c>
      <c r="AB53" s="248">
        <v>1974</v>
      </c>
      <c r="AC53" s="248" t="s">
        <v>15</v>
      </c>
      <c r="AD53" s="249" t="s">
        <v>763</v>
      </c>
      <c r="AH53" s="46"/>
    </row>
    <row r="54" spans="1:34" ht="20.100000000000001" customHeight="1">
      <c r="A54" s="15">
        <v>21</v>
      </c>
      <c r="B54" s="94" t="s">
        <v>308</v>
      </c>
      <c r="C54" s="94">
        <v>1993</v>
      </c>
      <c r="D54" s="95" t="s">
        <v>113</v>
      </c>
      <c r="E54" s="5"/>
      <c r="F54" s="15" t="s">
        <v>18</v>
      </c>
      <c r="G54" s="19">
        <f>COUNTIF($D$34:$D$57,F54)</f>
        <v>1</v>
      </c>
      <c r="I54" s="15">
        <v>21</v>
      </c>
      <c r="J54" s="16" t="s">
        <v>286</v>
      </c>
      <c r="K54" s="16">
        <v>1994</v>
      </c>
      <c r="L54" s="14" t="s">
        <v>113</v>
      </c>
      <c r="M54" s="5"/>
      <c r="N54" s="15" t="s">
        <v>18</v>
      </c>
      <c r="O54" s="19">
        <f>COUNTIF($L$34:$L$57,N54)</f>
        <v>4</v>
      </c>
      <c r="Q54" s="16">
        <v>21</v>
      </c>
      <c r="R54" s="26" t="s">
        <v>92</v>
      </c>
      <c r="S54" s="26">
        <v>1992</v>
      </c>
      <c r="T54" s="26" t="s">
        <v>13</v>
      </c>
      <c r="V54" s="15" t="s">
        <v>18</v>
      </c>
      <c r="W54" s="19">
        <f>COUNTIF($T$34:$T$57,V54)</f>
        <v>4</v>
      </c>
      <c r="Z54" s="245">
        <v>26</v>
      </c>
      <c r="AA54" s="250" t="s">
        <v>749</v>
      </c>
      <c r="AB54" s="250">
        <v>1974</v>
      </c>
      <c r="AC54" s="248" t="s">
        <v>15</v>
      </c>
      <c r="AD54" s="251" t="s">
        <v>763</v>
      </c>
      <c r="AH54" s="46"/>
    </row>
    <row r="55" spans="1:34" ht="20.100000000000001" customHeight="1">
      <c r="A55" s="15">
        <v>22</v>
      </c>
      <c r="B55" s="284" t="s">
        <v>80</v>
      </c>
      <c r="C55" s="284">
        <v>1994</v>
      </c>
      <c r="D55" s="303" t="s">
        <v>13</v>
      </c>
      <c r="E55" s="5"/>
      <c r="F55" s="15" t="s">
        <v>15</v>
      </c>
      <c r="G55" s="19">
        <f>COUNTIF($D$34:$D$57,F55)</f>
        <v>5</v>
      </c>
      <c r="I55" s="76">
        <v>22</v>
      </c>
      <c r="J55" s="77" t="s">
        <v>285</v>
      </c>
      <c r="K55" s="77">
        <v>1974</v>
      </c>
      <c r="L55" s="78" t="s">
        <v>127</v>
      </c>
      <c r="M55" s="5"/>
      <c r="N55" s="15" t="s">
        <v>15</v>
      </c>
      <c r="O55" s="19">
        <f>COUNTIF($L$34:$L$57,N55)</f>
        <v>4</v>
      </c>
      <c r="Q55" s="16">
        <v>22</v>
      </c>
      <c r="R55" s="233" t="s">
        <v>64</v>
      </c>
      <c r="S55" s="233">
        <v>1989</v>
      </c>
      <c r="T55" s="233" t="s">
        <v>18</v>
      </c>
      <c r="V55" s="15" t="s">
        <v>15</v>
      </c>
      <c r="W55" s="19">
        <f>COUNTIF($T$34:$T$57,V55)</f>
        <v>4</v>
      </c>
      <c r="Z55" s="245">
        <v>27</v>
      </c>
      <c r="AA55" s="248" t="s">
        <v>697</v>
      </c>
      <c r="AB55" s="248">
        <v>1989</v>
      </c>
      <c r="AC55" s="248" t="s">
        <v>13</v>
      </c>
      <c r="AD55" s="66" t="s">
        <v>763</v>
      </c>
      <c r="AH55" s="46"/>
    </row>
    <row r="56" spans="1:34" ht="20.100000000000001" customHeight="1">
      <c r="A56" s="15">
        <v>23</v>
      </c>
      <c r="B56" s="26" t="s">
        <v>341</v>
      </c>
      <c r="C56" s="26">
        <v>1995</v>
      </c>
      <c r="D56" s="30" t="s">
        <v>113</v>
      </c>
      <c r="E56" s="5"/>
      <c r="F56" s="20" t="s">
        <v>61</v>
      </c>
      <c r="G56" s="24">
        <f>COUNTIF($D$34:$D$57,F56)</f>
        <v>2</v>
      </c>
      <c r="I56" s="15">
        <v>23</v>
      </c>
      <c r="J56" s="16" t="s">
        <v>304</v>
      </c>
      <c r="K56" s="16">
        <v>1977</v>
      </c>
      <c r="L56" s="14" t="s">
        <v>127</v>
      </c>
      <c r="M56" s="5"/>
      <c r="N56" s="20" t="s">
        <v>61</v>
      </c>
      <c r="O56" s="24">
        <f>COUNTIF($L$34:$L$57,N56)</f>
        <v>1</v>
      </c>
      <c r="Q56" s="16">
        <v>23</v>
      </c>
      <c r="R56" s="94">
        <v>8833358</v>
      </c>
      <c r="S56" s="94">
        <v>1988</v>
      </c>
      <c r="T56" s="94" t="s">
        <v>61</v>
      </c>
      <c r="V56" s="20" t="s">
        <v>61</v>
      </c>
      <c r="W56" s="24">
        <f>COUNTIF($T$34:$T$57,V56)</f>
        <v>3</v>
      </c>
      <c r="Z56" s="245">
        <v>28</v>
      </c>
      <c r="AA56" s="248" t="s">
        <v>190</v>
      </c>
      <c r="AB56" s="248">
        <v>1995</v>
      </c>
      <c r="AC56" s="248" t="s">
        <v>18</v>
      </c>
      <c r="AD56" s="66" t="s">
        <v>763</v>
      </c>
    </row>
    <row r="57" spans="1:34" ht="19.5" customHeight="1" thickBot="1">
      <c r="A57" s="17">
        <v>24</v>
      </c>
      <c r="B57" s="305" t="s">
        <v>163</v>
      </c>
      <c r="C57" s="305">
        <v>1991</v>
      </c>
      <c r="D57" s="306" t="s">
        <v>113</v>
      </c>
      <c r="E57" s="304"/>
      <c r="F57" s="17" t="s">
        <v>40</v>
      </c>
      <c r="G57" s="22">
        <f>COUNTIF($D$34:$D$57,F57)</f>
        <v>1</v>
      </c>
      <c r="I57" s="17">
        <v>24</v>
      </c>
      <c r="J57" s="18">
        <v>65418</v>
      </c>
      <c r="K57" s="18">
        <v>1977</v>
      </c>
      <c r="L57" s="22" t="s">
        <v>177</v>
      </c>
      <c r="M57" s="5"/>
      <c r="N57" s="17" t="s">
        <v>40</v>
      </c>
      <c r="O57" s="22">
        <f>COUNTIF($L$34:$L$57,N57)</f>
        <v>3</v>
      </c>
      <c r="Q57" s="16">
        <v>24</v>
      </c>
      <c r="R57" s="94" t="s">
        <v>160</v>
      </c>
      <c r="S57" s="94">
        <v>1991</v>
      </c>
      <c r="T57" s="94" t="s">
        <v>131</v>
      </c>
      <c r="V57" s="17" t="s">
        <v>40</v>
      </c>
      <c r="W57" s="22">
        <f>COUNTIF($T$34:$T$57,V57)</f>
        <v>1</v>
      </c>
      <c r="Z57" s="245">
        <v>29</v>
      </c>
      <c r="AA57" s="246">
        <v>64052</v>
      </c>
      <c r="AB57" s="246">
        <v>1977</v>
      </c>
      <c r="AC57" s="246" t="s">
        <v>40</v>
      </c>
      <c r="AD57" s="247" t="s">
        <v>763</v>
      </c>
    </row>
  </sheetData>
  <mergeCells count="17">
    <mergeCell ref="A32:D32"/>
    <mergeCell ref="I32:L32"/>
    <mergeCell ref="Q32:T32"/>
    <mergeCell ref="AB32:AC32"/>
    <mergeCell ref="A1:D1"/>
    <mergeCell ref="I1:L1"/>
    <mergeCell ref="Q1:T1"/>
    <mergeCell ref="Y1:AC1"/>
    <mergeCell ref="Z32:AA32"/>
    <mergeCell ref="N20:O20"/>
    <mergeCell ref="F20:G20"/>
    <mergeCell ref="F51:G51"/>
    <mergeCell ref="N51:O51"/>
    <mergeCell ref="V51:W51"/>
    <mergeCell ref="Z41:AA41"/>
    <mergeCell ref="AF1:AJ1"/>
    <mergeCell ref="V20:W20"/>
  </mergeCells>
  <phoneticPr fontId="1" type="noConversion"/>
  <printOptions horizontalCentered="1" verticalCentered="1"/>
  <pageMargins left="0.25" right="0.25" top="0.75" bottom="0.75" header="0.3" footer="0.3"/>
  <pageSetup paperSize="9" orientation="portrait" horizontalDpi="4294967293" verticalDpi="4294967293" r:id="rId1"/>
  <rowBreaks count="1" manualBreakCount="1">
    <brk id="30" max="19" man="1"/>
  </rowBreaks>
  <colBreaks count="3" manualBreakCount="3">
    <brk id="7" max="54" man="1"/>
    <brk id="15" max="54" man="1"/>
    <brk id="23" max="54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  <pageSetUpPr fitToPage="1"/>
  </sheetPr>
  <dimension ref="A1:T143"/>
  <sheetViews>
    <sheetView zoomScaleNormal="100" zoomScaleSheetLayoutView="145" workbookViewId="0">
      <pane xSplit="1" ySplit="3" topLeftCell="B9" activePane="bottomRight" state="frozen"/>
      <selection pane="topRight" activeCell="B1" sqref="B1"/>
      <selection pane="bottomLeft" activeCell="A4" sqref="A4"/>
      <selection pane="bottomRight" activeCell="D5" sqref="D5"/>
    </sheetView>
  </sheetViews>
  <sheetFormatPr defaultRowHeight="16.5" customHeight="1"/>
  <cols>
    <col min="1" max="1" width="11.09765625" bestFit="1" customWidth="1"/>
    <col min="2" max="2" width="13.69921875" bestFit="1" customWidth="1"/>
    <col min="3" max="3" width="6" customWidth="1"/>
    <col min="4" max="4" width="7.59765625" customWidth="1"/>
    <col min="5" max="5" width="6.69921875" customWidth="1"/>
    <col min="6" max="6" width="12.19921875" bestFit="1" customWidth="1"/>
    <col min="7" max="7" width="5.5" bestFit="1" customWidth="1"/>
    <col min="8" max="8" width="11" bestFit="1" customWidth="1"/>
    <col min="9" max="9" width="12.19921875" bestFit="1" customWidth="1"/>
    <col min="10" max="10" width="6.19921875" bestFit="1" customWidth="1"/>
    <col min="11" max="11" width="14.3984375" bestFit="1" customWidth="1"/>
    <col min="12" max="12" width="36.5" style="49" customWidth="1"/>
    <col min="13" max="13" width="38.19921875" style="120" customWidth="1"/>
    <col min="14" max="14" width="7.8984375" customWidth="1"/>
    <col min="15" max="15" width="12.09765625" customWidth="1"/>
    <col min="16" max="16" width="8.59765625" customWidth="1"/>
    <col min="17" max="17" width="5.8984375" bestFit="1" customWidth="1"/>
  </cols>
  <sheetData>
    <row r="1" spans="1:20" ht="30">
      <c r="A1" s="323" t="s">
        <v>121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</row>
    <row r="2" spans="1:20" ht="16.5" customHeight="1" thickBot="1">
      <c r="M2" s="120" t="s">
        <v>211</v>
      </c>
    </row>
    <row r="3" spans="1:20" ht="19.2">
      <c r="A3" s="52" t="s">
        <v>7</v>
      </c>
      <c r="B3" s="52" t="s">
        <v>104</v>
      </c>
      <c r="C3" s="73" t="s">
        <v>0</v>
      </c>
      <c r="D3" s="73" t="s">
        <v>1</v>
      </c>
      <c r="E3" s="73" t="s">
        <v>2</v>
      </c>
      <c r="F3" s="324" t="s">
        <v>269</v>
      </c>
      <c r="G3" s="324"/>
      <c r="H3" s="324"/>
      <c r="I3" s="324" t="s">
        <v>103</v>
      </c>
      <c r="J3" s="324"/>
      <c r="K3" s="324"/>
      <c r="L3" s="53" t="s">
        <v>268</v>
      </c>
      <c r="M3" s="121" t="s">
        <v>210</v>
      </c>
    </row>
    <row r="4" spans="1:20" s="31" customFormat="1" ht="17.399999999999999">
      <c r="A4" s="75" t="s">
        <v>480</v>
      </c>
      <c r="B4" s="54">
        <v>44659</v>
      </c>
      <c r="C4" s="32">
        <v>106</v>
      </c>
      <c r="D4" s="32">
        <v>1106</v>
      </c>
      <c r="E4" s="32">
        <v>3</v>
      </c>
      <c r="F4" s="38" t="s">
        <v>237</v>
      </c>
      <c r="G4" s="72" t="s">
        <v>168</v>
      </c>
      <c r="H4" s="72" t="s">
        <v>168</v>
      </c>
      <c r="I4" s="38" t="s">
        <v>236</v>
      </c>
      <c r="J4" s="72" t="s">
        <v>168</v>
      </c>
      <c r="K4" s="72" t="s">
        <v>168</v>
      </c>
      <c r="L4" s="50"/>
      <c r="M4" s="123"/>
      <c r="O4" s="60"/>
      <c r="P4" s="60"/>
      <c r="Q4" s="60"/>
      <c r="R4" s="60"/>
      <c r="S4" s="60"/>
      <c r="T4" s="60"/>
    </row>
    <row r="5" spans="1:20" s="31" customFormat="1" ht="17.399999999999999">
      <c r="A5" s="56">
        <v>26</v>
      </c>
      <c r="B5" s="54">
        <v>45876</v>
      </c>
      <c r="C5" s="32">
        <v>111</v>
      </c>
      <c r="D5" s="32">
        <v>1111</v>
      </c>
      <c r="E5" s="32">
        <v>4</v>
      </c>
      <c r="F5" s="32" t="s">
        <v>26</v>
      </c>
      <c r="G5" s="32">
        <v>1998</v>
      </c>
      <c r="H5" s="32" t="s">
        <v>13</v>
      </c>
      <c r="I5" s="32" t="s">
        <v>774</v>
      </c>
      <c r="J5" s="32">
        <v>1992</v>
      </c>
      <c r="K5" s="32" t="s">
        <v>809</v>
      </c>
      <c r="L5" s="32" t="s">
        <v>246</v>
      </c>
      <c r="M5" s="374"/>
      <c r="O5" s="60"/>
      <c r="P5" s="60"/>
      <c r="Q5" s="60"/>
      <c r="R5" s="60"/>
      <c r="S5" s="60"/>
      <c r="T5" s="60"/>
    </row>
    <row r="6" spans="1:20" s="31" customFormat="1" ht="17.399999999999999">
      <c r="A6" s="56">
        <v>22</v>
      </c>
      <c r="B6" s="54">
        <v>45721</v>
      </c>
      <c r="C6" s="32">
        <v>111</v>
      </c>
      <c r="D6" s="32">
        <v>1811</v>
      </c>
      <c r="E6" s="32">
        <v>2</v>
      </c>
      <c r="F6" s="32" t="s">
        <v>63</v>
      </c>
      <c r="G6" s="32">
        <v>1988</v>
      </c>
      <c r="H6" s="32" t="s">
        <v>13</v>
      </c>
      <c r="I6" s="32" t="s">
        <v>761</v>
      </c>
      <c r="J6" s="32">
        <v>1988</v>
      </c>
      <c r="K6" s="32" t="s">
        <v>18</v>
      </c>
      <c r="L6" s="50" t="s">
        <v>245</v>
      </c>
      <c r="M6" s="374"/>
      <c r="O6" s="60"/>
      <c r="P6" s="60"/>
      <c r="Q6" s="60"/>
      <c r="R6" s="60"/>
      <c r="S6" s="60"/>
      <c r="T6" s="60"/>
    </row>
    <row r="7" spans="1:20" s="31" customFormat="1" ht="17.399999999999999">
      <c r="A7" s="56">
        <v>10</v>
      </c>
      <c r="B7" s="54">
        <v>45442</v>
      </c>
      <c r="C7" s="32">
        <v>111</v>
      </c>
      <c r="D7" s="32">
        <v>1811</v>
      </c>
      <c r="E7" s="32">
        <v>1</v>
      </c>
      <c r="F7" s="32" t="s">
        <v>199</v>
      </c>
      <c r="G7" s="32">
        <v>1974</v>
      </c>
      <c r="H7" s="32" t="s">
        <v>15</v>
      </c>
      <c r="I7" s="32" t="s">
        <v>655</v>
      </c>
      <c r="J7" s="32">
        <v>1974</v>
      </c>
      <c r="K7" s="32" t="s">
        <v>767</v>
      </c>
      <c r="L7" s="50" t="s">
        <v>245</v>
      </c>
      <c r="M7" s="374"/>
      <c r="O7" s="60"/>
      <c r="P7" s="60"/>
      <c r="Q7" s="60"/>
      <c r="R7" s="60"/>
      <c r="S7" s="60"/>
      <c r="T7" s="60"/>
    </row>
    <row r="8" spans="1:20" s="31" customFormat="1" ht="17.399999999999999">
      <c r="A8" s="56">
        <v>12</v>
      </c>
      <c r="B8" s="54">
        <v>45108</v>
      </c>
      <c r="C8" s="81">
        <v>111</v>
      </c>
      <c r="D8" s="81">
        <v>1411</v>
      </c>
      <c r="E8" s="150">
        <v>2</v>
      </c>
      <c r="F8" s="38" t="s">
        <v>514</v>
      </c>
      <c r="G8" s="38">
        <v>1994</v>
      </c>
      <c r="H8" s="38" t="s">
        <v>113</v>
      </c>
      <c r="I8" s="131" t="s">
        <v>557</v>
      </c>
      <c r="J8" s="131">
        <v>1995</v>
      </c>
      <c r="K8" s="131" t="s">
        <v>18</v>
      </c>
      <c r="L8" s="50" t="s">
        <v>583</v>
      </c>
      <c r="M8" s="123"/>
      <c r="O8" s="60"/>
      <c r="P8" s="60"/>
      <c r="Q8" s="60"/>
      <c r="R8" s="60"/>
      <c r="S8" s="60"/>
      <c r="T8" s="60"/>
    </row>
    <row r="9" spans="1:20" s="31" customFormat="1" ht="17.399999999999999">
      <c r="A9" s="56">
        <v>11</v>
      </c>
      <c r="B9" s="54">
        <v>45082</v>
      </c>
      <c r="C9" s="81">
        <v>111</v>
      </c>
      <c r="D9" s="81">
        <v>1411</v>
      </c>
      <c r="E9" s="150">
        <v>1</v>
      </c>
      <c r="F9" s="38" t="s">
        <v>392</v>
      </c>
      <c r="G9" s="38">
        <v>1974</v>
      </c>
      <c r="H9" s="38" t="s">
        <v>127</v>
      </c>
      <c r="I9" s="131" t="s">
        <v>159</v>
      </c>
      <c r="J9" s="131">
        <v>1993</v>
      </c>
      <c r="K9" s="131" t="s">
        <v>13</v>
      </c>
      <c r="L9" s="50" t="s">
        <v>629</v>
      </c>
      <c r="M9" s="379"/>
      <c r="O9" s="60"/>
      <c r="P9" s="60"/>
      <c r="Q9" s="60"/>
      <c r="R9" s="60"/>
      <c r="S9" s="60"/>
      <c r="T9" s="60"/>
    </row>
    <row r="10" spans="1:20" s="31" customFormat="1" ht="17.399999999999999">
      <c r="A10" s="56"/>
      <c r="B10" s="54">
        <v>45082</v>
      </c>
      <c r="C10" s="81">
        <v>111</v>
      </c>
      <c r="D10" s="81">
        <v>1411</v>
      </c>
      <c r="E10" s="150">
        <v>2</v>
      </c>
      <c r="F10" s="38" t="s">
        <v>393</v>
      </c>
      <c r="G10" s="38">
        <v>1974</v>
      </c>
      <c r="H10" s="38" t="s">
        <v>127</v>
      </c>
      <c r="I10" s="38" t="s">
        <v>514</v>
      </c>
      <c r="J10" s="38">
        <v>1994</v>
      </c>
      <c r="K10" s="38" t="s">
        <v>113</v>
      </c>
      <c r="L10" s="50" t="s">
        <v>629</v>
      </c>
      <c r="M10" s="379"/>
      <c r="O10" s="60"/>
      <c r="P10" s="60"/>
      <c r="Q10" s="60"/>
      <c r="R10" s="60"/>
      <c r="S10" s="60"/>
      <c r="T10" s="60"/>
    </row>
    <row r="11" spans="1:20" s="31" customFormat="1" ht="17.399999999999999">
      <c r="A11" s="56"/>
      <c r="B11" s="54">
        <v>45082</v>
      </c>
      <c r="C11" s="81">
        <v>111</v>
      </c>
      <c r="D11" s="81">
        <v>1411</v>
      </c>
      <c r="E11" s="150">
        <v>3</v>
      </c>
      <c r="F11" s="38" t="s">
        <v>394</v>
      </c>
      <c r="G11" s="38">
        <v>1996</v>
      </c>
      <c r="H11" s="38" t="s">
        <v>113</v>
      </c>
      <c r="I11" s="131" t="s">
        <v>167</v>
      </c>
      <c r="J11" s="131">
        <v>1991</v>
      </c>
      <c r="K11" s="131" t="s">
        <v>18</v>
      </c>
      <c r="L11" s="50" t="s">
        <v>629</v>
      </c>
      <c r="M11" s="379"/>
      <c r="O11" s="60"/>
      <c r="P11" s="60"/>
      <c r="Q11" s="60"/>
      <c r="R11" s="60"/>
      <c r="S11" s="60"/>
      <c r="T11" s="60"/>
    </row>
    <row r="12" spans="1:20" s="31" customFormat="1" ht="17.399999999999999">
      <c r="A12" s="56"/>
      <c r="B12" s="54">
        <v>45082</v>
      </c>
      <c r="C12" s="81">
        <v>111</v>
      </c>
      <c r="D12" s="81">
        <v>1411</v>
      </c>
      <c r="E12" s="150">
        <v>4</v>
      </c>
      <c r="F12" s="38" t="s">
        <v>395</v>
      </c>
      <c r="G12" s="38">
        <v>1992</v>
      </c>
      <c r="H12" s="38" t="s">
        <v>113</v>
      </c>
      <c r="I12" s="131" t="s">
        <v>556</v>
      </c>
      <c r="J12" s="131">
        <v>1994</v>
      </c>
      <c r="K12" s="131" t="s">
        <v>13</v>
      </c>
      <c r="L12" s="50" t="s">
        <v>615</v>
      </c>
      <c r="M12" s="379" t="s">
        <v>573</v>
      </c>
    </row>
    <row r="13" spans="1:20" s="31" customFormat="1" ht="17.399999999999999">
      <c r="A13" s="56">
        <v>3</v>
      </c>
      <c r="B13" s="54">
        <v>44961</v>
      </c>
      <c r="C13" s="81">
        <v>111</v>
      </c>
      <c r="D13" s="81">
        <v>1511</v>
      </c>
      <c r="E13" s="150">
        <v>3</v>
      </c>
      <c r="F13" s="38" t="s">
        <v>489</v>
      </c>
      <c r="G13" s="38">
        <v>1996</v>
      </c>
      <c r="H13" s="38" t="s">
        <v>490</v>
      </c>
      <c r="I13" s="38" t="s">
        <v>206</v>
      </c>
      <c r="J13" s="38">
        <v>1989</v>
      </c>
      <c r="K13" s="38" t="s">
        <v>131</v>
      </c>
      <c r="L13" s="50" t="s">
        <v>615</v>
      </c>
      <c r="M13" s="123" t="s">
        <v>488</v>
      </c>
    </row>
    <row r="14" spans="1:20" s="31" customFormat="1" ht="17.399999999999999">
      <c r="A14" s="56">
        <v>1</v>
      </c>
      <c r="B14" s="54">
        <v>44937</v>
      </c>
      <c r="C14" s="81">
        <v>111</v>
      </c>
      <c r="D14" s="81">
        <v>1811</v>
      </c>
      <c r="E14" s="150">
        <v>1</v>
      </c>
      <c r="F14" s="131" t="s">
        <v>305</v>
      </c>
      <c r="G14" s="131">
        <v>1995</v>
      </c>
      <c r="H14" s="131" t="s">
        <v>131</v>
      </c>
      <c r="I14" s="38" t="s">
        <v>386</v>
      </c>
      <c r="J14" s="38">
        <v>1974</v>
      </c>
      <c r="K14" s="38" t="s">
        <v>127</v>
      </c>
      <c r="L14" s="50" t="s">
        <v>586</v>
      </c>
      <c r="M14" s="129" t="s">
        <v>483</v>
      </c>
      <c r="O14" s="149"/>
      <c r="P14" s="149"/>
      <c r="Q14" s="149"/>
    </row>
    <row r="15" spans="1:20" s="31" customFormat="1" ht="17.399999999999999">
      <c r="A15" s="56" t="s">
        <v>473</v>
      </c>
      <c r="B15" s="54">
        <v>44802</v>
      </c>
      <c r="C15" s="81">
        <v>111</v>
      </c>
      <c r="D15" s="81">
        <v>1711</v>
      </c>
      <c r="E15" s="32">
        <v>1</v>
      </c>
      <c r="F15" s="38" t="s">
        <v>199</v>
      </c>
      <c r="G15" s="38">
        <v>1974</v>
      </c>
      <c r="H15" s="38" t="s">
        <v>127</v>
      </c>
      <c r="I15" s="131" t="s">
        <v>438</v>
      </c>
      <c r="J15" s="131">
        <v>1995</v>
      </c>
      <c r="K15" s="131" t="s">
        <v>440</v>
      </c>
      <c r="L15" s="50" t="s">
        <v>469</v>
      </c>
      <c r="M15" s="123"/>
      <c r="O15" s="149"/>
      <c r="P15" s="149"/>
      <c r="Q15" s="149"/>
    </row>
    <row r="16" spans="1:20" s="31" customFormat="1" ht="17.399999999999999">
      <c r="A16" s="56" t="s">
        <v>473</v>
      </c>
      <c r="B16" s="54">
        <v>44802</v>
      </c>
      <c r="C16" s="81">
        <v>111</v>
      </c>
      <c r="D16" s="81">
        <v>1711</v>
      </c>
      <c r="E16" s="32">
        <v>2</v>
      </c>
      <c r="F16" s="38" t="s">
        <v>63</v>
      </c>
      <c r="G16" s="38">
        <v>1998</v>
      </c>
      <c r="H16" s="38" t="s">
        <v>437</v>
      </c>
      <c r="I16" s="131" t="s">
        <v>439</v>
      </c>
      <c r="J16" s="131">
        <v>1995</v>
      </c>
      <c r="K16" s="131" t="s">
        <v>440</v>
      </c>
      <c r="L16" s="50" t="s">
        <v>469</v>
      </c>
      <c r="M16" s="123"/>
      <c r="N16" s="182"/>
      <c r="O16" s="149"/>
      <c r="P16" s="149"/>
      <c r="Q16" s="149"/>
    </row>
    <row r="17" spans="1:17" s="31" customFormat="1" ht="17.399999999999999">
      <c r="A17" s="56" t="s">
        <v>473</v>
      </c>
      <c r="B17" s="54">
        <v>44802</v>
      </c>
      <c r="C17" s="81">
        <v>111</v>
      </c>
      <c r="D17" s="81">
        <v>1811</v>
      </c>
      <c r="E17" s="32">
        <v>2</v>
      </c>
      <c r="F17" s="38" t="s">
        <v>441</v>
      </c>
      <c r="G17" s="38">
        <v>1992</v>
      </c>
      <c r="H17" s="38" t="s">
        <v>442</v>
      </c>
      <c r="I17" s="38" t="s">
        <v>443</v>
      </c>
      <c r="J17" s="38">
        <v>1998</v>
      </c>
      <c r="K17" s="38" t="s">
        <v>442</v>
      </c>
      <c r="L17" s="50" t="s">
        <v>469</v>
      </c>
      <c r="M17" s="123"/>
      <c r="O17" s="149"/>
      <c r="P17" s="149"/>
      <c r="Q17" s="149"/>
    </row>
    <row r="18" spans="1:17" s="31" customFormat="1" ht="17.399999999999999">
      <c r="A18" s="56">
        <v>10</v>
      </c>
      <c r="B18" s="54">
        <v>44757</v>
      </c>
      <c r="C18" s="32">
        <v>111</v>
      </c>
      <c r="D18" s="32">
        <v>1811</v>
      </c>
      <c r="E18" s="150">
        <v>1</v>
      </c>
      <c r="F18" s="32" t="s">
        <v>203</v>
      </c>
      <c r="G18" s="32">
        <v>1994</v>
      </c>
      <c r="H18" s="38" t="s">
        <v>18</v>
      </c>
      <c r="I18" s="131" t="s">
        <v>190</v>
      </c>
      <c r="J18" s="131">
        <v>1995</v>
      </c>
      <c r="K18" s="131" t="s">
        <v>276</v>
      </c>
      <c r="L18" s="50" t="s">
        <v>467</v>
      </c>
      <c r="M18" s="129" t="s">
        <v>238</v>
      </c>
    </row>
    <row r="19" spans="1:17" s="31" customFormat="1" ht="17.399999999999999">
      <c r="A19" s="79">
        <v>8</v>
      </c>
      <c r="B19" s="80">
        <v>44706</v>
      </c>
      <c r="C19" s="81">
        <v>111</v>
      </c>
      <c r="D19" s="81">
        <v>1711</v>
      </c>
      <c r="E19" s="81">
        <v>3</v>
      </c>
      <c r="F19" s="38" t="s">
        <v>199</v>
      </c>
      <c r="G19" s="38">
        <v>1974</v>
      </c>
      <c r="H19" s="38" t="s">
        <v>127</v>
      </c>
      <c r="I19" s="130" t="s">
        <v>162</v>
      </c>
      <c r="J19" s="130">
        <v>1994</v>
      </c>
      <c r="K19" s="130" t="s">
        <v>18</v>
      </c>
      <c r="L19" s="83"/>
      <c r="M19" s="124" t="s">
        <v>434</v>
      </c>
    </row>
    <row r="20" spans="1:17" s="31" customFormat="1" ht="17.399999999999999">
      <c r="A20" s="79"/>
      <c r="B20" s="80">
        <v>44706</v>
      </c>
      <c r="C20" s="81">
        <v>111</v>
      </c>
      <c r="D20" s="81">
        <v>1711</v>
      </c>
      <c r="E20" s="81">
        <v>4</v>
      </c>
      <c r="F20" s="38" t="s">
        <v>436</v>
      </c>
      <c r="G20" s="38">
        <v>1998</v>
      </c>
      <c r="H20" s="38" t="s">
        <v>437</v>
      </c>
      <c r="I20" s="130" t="s">
        <v>166</v>
      </c>
      <c r="J20" s="130">
        <v>1995</v>
      </c>
      <c r="K20" s="130" t="s">
        <v>18</v>
      </c>
      <c r="L20" s="83"/>
      <c r="M20" s="124" t="s">
        <v>435</v>
      </c>
    </row>
    <row r="21" spans="1:17" s="31" customFormat="1" ht="17.399999999999999">
      <c r="A21" s="79">
        <v>7</v>
      </c>
      <c r="B21" s="80">
        <v>44690</v>
      </c>
      <c r="C21" s="81">
        <v>111</v>
      </c>
      <c r="D21" s="81">
        <v>1711</v>
      </c>
      <c r="E21" s="150">
        <v>1</v>
      </c>
      <c r="F21" s="82" t="s">
        <v>247</v>
      </c>
      <c r="G21" s="82">
        <v>1998</v>
      </c>
      <c r="H21" s="82" t="s">
        <v>13</v>
      </c>
      <c r="I21" s="38" t="s">
        <v>199</v>
      </c>
      <c r="J21" s="38">
        <v>1974</v>
      </c>
      <c r="K21" s="38" t="s">
        <v>127</v>
      </c>
      <c r="L21" s="83" t="s">
        <v>245</v>
      </c>
      <c r="M21" s="124"/>
    </row>
    <row r="22" spans="1:17" s="31" customFormat="1" ht="17.399999999999999">
      <c r="A22" s="79"/>
      <c r="B22" s="80">
        <v>44690</v>
      </c>
      <c r="C22" s="81">
        <v>111</v>
      </c>
      <c r="D22" s="81">
        <v>1711</v>
      </c>
      <c r="E22" s="150">
        <v>2</v>
      </c>
      <c r="F22" s="82" t="s">
        <v>135</v>
      </c>
      <c r="G22" s="82">
        <v>1998</v>
      </c>
      <c r="H22" s="82" t="s">
        <v>13</v>
      </c>
      <c r="I22" s="38" t="s">
        <v>436</v>
      </c>
      <c r="J22" s="38">
        <v>1998</v>
      </c>
      <c r="K22" s="38" t="s">
        <v>437</v>
      </c>
      <c r="L22" s="83" t="s">
        <v>255</v>
      </c>
      <c r="M22" s="124" t="s">
        <v>257</v>
      </c>
    </row>
    <row r="23" spans="1:17" s="31" customFormat="1" ht="17.399999999999999">
      <c r="A23" s="56"/>
      <c r="B23" s="54">
        <v>44636</v>
      </c>
      <c r="C23" s="32">
        <v>111</v>
      </c>
      <c r="D23" s="32">
        <v>1211</v>
      </c>
      <c r="E23" s="32">
        <v>1</v>
      </c>
      <c r="F23" s="72" t="s">
        <v>168</v>
      </c>
      <c r="G23" s="72" t="s">
        <v>168</v>
      </c>
      <c r="H23" s="72" t="s">
        <v>168</v>
      </c>
      <c r="I23" s="38" t="s">
        <v>176</v>
      </c>
      <c r="J23" s="38">
        <v>1974</v>
      </c>
      <c r="K23" s="38" t="s">
        <v>127</v>
      </c>
      <c r="L23" s="50"/>
      <c r="M23" s="122" t="s">
        <v>259</v>
      </c>
    </row>
    <row r="24" spans="1:17" s="31" customFormat="1" ht="17.399999999999999">
      <c r="A24" s="56"/>
      <c r="B24" s="54">
        <v>44636</v>
      </c>
      <c r="C24" s="32">
        <v>111</v>
      </c>
      <c r="D24" s="32">
        <v>1211</v>
      </c>
      <c r="E24" s="32">
        <v>2</v>
      </c>
      <c r="F24" s="72" t="s">
        <v>168</v>
      </c>
      <c r="G24" s="72" t="s">
        <v>168</v>
      </c>
      <c r="H24" s="72" t="s">
        <v>168</v>
      </c>
      <c r="I24" s="38" t="s">
        <v>175</v>
      </c>
      <c r="J24" s="38">
        <v>1989</v>
      </c>
      <c r="K24" s="38" t="s">
        <v>131</v>
      </c>
      <c r="L24" s="50"/>
      <c r="M24" s="122" t="s">
        <v>259</v>
      </c>
    </row>
    <row r="25" spans="1:17" s="31" customFormat="1" ht="17.399999999999999">
      <c r="A25" s="56"/>
      <c r="B25" s="54">
        <v>44636</v>
      </c>
      <c r="C25" s="32">
        <v>111</v>
      </c>
      <c r="D25" s="32">
        <v>1211</v>
      </c>
      <c r="E25" s="32">
        <v>3</v>
      </c>
      <c r="F25" s="72" t="s">
        <v>168</v>
      </c>
      <c r="G25" s="72" t="s">
        <v>168</v>
      </c>
      <c r="H25" s="72" t="s">
        <v>168</v>
      </c>
      <c r="I25" s="38" t="s">
        <v>229</v>
      </c>
      <c r="J25" s="38">
        <v>1988</v>
      </c>
      <c r="K25" s="38" t="s">
        <v>113</v>
      </c>
      <c r="L25" s="50"/>
      <c r="M25" s="122" t="s">
        <v>259</v>
      </c>
    </row>
    <row r="26" spans="1:17" s="31" customFormat="1" ht="17.399999999999999">
      <c r="A26" s="56"/>
      <c r="B26" s="54">
        <v>44636</v>
      </c>
      <c r="C26" s="32">
        <v>111</v>
      </c>
      <c r="D26" s="32">
        <v>1211</v>
      </c>
      <c r="E26" s="32">
        <v>4</v>
      </c>
      <c r="F26" s="72" t="s">
        <v>168</v>
      </c>
      <c r="G26" s="72" t="s">
        <v>168</v>
      </c>
      <c r="H26" s="72" t="s">
        <v>168</v>
      </c>
      <c r="I26" s="38" t="s">
        <v>230</v>
      </c>
      <c r="J26" s="38">
        <v>1987</v>
      </c>
      <c r="K26" s="38" t="s">
        <v>113</v>
      </c>
      <c r="L26" s="50"/>
      <c r="M26" s="122" t="s">
        <v>259</v>
      </c>
    </row>
    <row r="27" spans="1:17" s="31" customFormat="1" ht="17.399999999999999">
      <c r="A27" s="56">
        <v>2</v>
      </c>
      <c r="B27" s="54">
        <v>44615</v>
      </c>
      <c r="C27" s="32">
        <v>111</v>
      </c>
      <c r="D27" s="32">
        <v>1711</v>
      </c>
      <c r="E27" s="150">
        <v>3</v>
      </c>
      <c r="F27" s="38" t="s">
        <v>123</v>
      </c>
      <c r="G27" s="38">
        <v>1992</v>
      </c>
      <c r="H27" s="38" t="s">
        <v>113</v>
      </c>
      <c r="I27" s="38" t="s">
        <v>199</v>
      </c>
      <c r="J27" s="38">
        <v>1974</v>
      </c>
      <c r="K27" s="38" t="s">
        <v>127</v>
      </c>
      <c r="L27" s="50" t="s">
        <v>246</v>
      </c>
      <c r="M27" s="123" t="s">
        <v>186</v>
      </c>
    </row>
    <row r="28" spans="1:17" s="31" customFormat="1" ht="17.399999999999999">
      <c r="A28" s="56"/>
      <c r="B28" s="54">
        <v>44615</v>
      </c>
      <c r="C28" s="32">
        <v>111</v>
      </c>
      <c r="D28" s="32">
        <v>1711</v>
      </c>
      <c r="E28" s="150">
        <v>2</v>
      </c>
      <c r="F28" s="38" t="s">
        <v>153</v>
      </c>
      <c r="G28" s="38">
        <v>1989</v>
      </c>
      <c r="H28" s="38" t="s">
        <v>131</v>
      </c>
      <c r="I28" s="38" t="s">
        <v>135</v>
      </c>
      <c r="J28" s="38">
        <v>1998</v>
      </c>
      <c r="K28" s="38" t="s">
        <v>113</v>
      </c>
      <c r="L28" s="50" t="s">
        <v>245</v>
      </c>
      <c r="M28" s="123"/>
    </row>
    <row r="29" spans="1:17" s="31" customFormat="1" ht="17.399999999999999">
      <c r="A29" s="56">
        <v>12</v>
      </c>
      <c r="B29" s="54">
        <v>44551</v>
      </c>
      <c r="C29" s="32">
        <v>111</v>
      </c>
      <c r="D29" s="32">
        <v>1711</v>
      </c>
      <c r="E29" s="150">
        <v>3</v>
      </c>
      <c r="F29" s="38" t="s">
        <v>205</v>
      </c>
      <c r="G29" s="38">
        <v>1974</v>
      </c>
      <c r="H29" s="38" t="s">
        <v>15</v>
      </c>
      <c r="I29" s="32" t="s">
        <v>42</v>
      </c>
      <c r="J29" s="32">
        <v>1992</v>
      </c>
      <c r="K29" s="38" t="s">
        <v>113</v>
      </c>
      <c r="L29" s="50" t="s">
        <v>253</v>
      </c>
      <c r="M29" s="123"/>
    </row>
    <row r="30" spans="1:17" s="31" customFormat="1" ht="17.399999999999999">
      <c r="A30" s="56">
        <v>11</v>
      </c>
      <c r="B30" s="54">
        <v>44497</v>
      </c>
      <c r="C30" s="32">
        <v>111</v>
      </c>
      <c r="D30" s="32">
        <v>1811</v>
      </c>
      <c r="E30" s="150">
        <v>1</v>
      </c>
      <c r="F30" s="38" t="s">
        <v>65</v>
      </c>
      <c r="G30" s="38">
        <v>1987</v>
      </c>
      <c r="H30" s="38" t="s">
        <v>13</v>
      </c>
      <c r="I30" s="32" t="s">
        <v>203</v>
      </c>
      <c r="J30" s="32">
        <v>1994</v>
      </c>
      <c r="K30" s="38" t="s">
        <v>18</v>
      </c>
      <c r="L30" s="50" t="s">
        <v>200</v>
      </c>
      <c r="M30" s="123" t="s">
        <v>238</v>
      </c>
    </row>
    <row r="31" spans="1:17" s="31" customFormat="1" ht="17.399999999999999">
      <c r="A31" s="56">
        <v>2</v>
      </c>
      <c r="B31" s="54">
        <v>44236</v>
      </c>
      <c r="C31" s="32">
        <v>111</v>
      </c>
      <c r="D31" s="32">
        <v>1711</v>
      </c>
      <c r="E31" s="150">
        <v>3</v>
      </c>
      <c r="F31" s="32" t="s">
        <v>155</v>
      </c>
      <c r="G31" s="32">
        <v>1974</v>
      </c>
      <c r="H31" s="32" t="s">
        <v>127</v>
      </c>
      <c r="I31" s="32" t="s">
        <v>154</v>
      </c>
      <c r="J31" s="32">
        <v>1974</v>
      </c>
      <c r="K31" s="32" t="s">
        <v>127</v>
      </c>
      <c r="L31" s="50" t="s">
        <v>156</v>
      </c>
      <c r="M31" s="123" t="s">
        <v>238</v>
      </c>
    </row>
    <row r="32" spans="1:17" s="31" customFormat="1" ht="18" thickBot="1">
      <c r="A32" s="105">
        <v>1</v>
      </c>
      <c r="B32" s="106">
        <v>44231</v>
      </c>
      <c r="C32" s="107">
        <v>111</v>
      </c>
      <c r="D32" s="107">
        <v>1711</v>
      </c>
      <c r="E32" s="151">
        <v>2</v>
      </c>
      <c r="F32" s="107" t="s">
        <v>152</v>
      </c>
      <c r="G32" s="107">
        <v>1988</v>
      </c>
      <c r="H32" s="107" t="s">
        <v>113</v>
      </c>
      <c r="I32" s="107" t="s">
        <v>153</v>
      </c>
      <c r="J32" s="107">
        <v>1989</v>
      </c>
      <c r="K32" s="107" t="s">
        <v>131</v>
      </c>
      <c r="L32" s="108" t="s">
        <v>251</v>
      </c>
      <c r="M32" s="378"/>
    </row>
    <row r="33" spans="1:13" s="31" customFormat="1" ht="17.399999999999999">
      <c r="A33" s="109"/>
      <c r="B33" s="110" t="s">
        <v>125</v>
      </c>
      <c r="C33" s="111">
        <v>112</v>
      </c>
      <c r="D33" s="111">
        <v>1712</v>
      </c>
      <c r="E33" s="152">
        <v>2</v>
      </c>
      <c r="F33" s="111">
        <v>7733026</v>
      </c>
      <c r="G33" s="111">
        <v>1977</v>
      </c>
      <c r="H33" s="111" t="s">
        <v>129</v>
      </c>
      <c r="I33" s="111" t="s">
        <v>130</v>
      </c>
      <c r="J33" s="111">
        <v>1989</v>
      </c>
      <c r="K33" s="111" t="s">
        <v>131</v>
      </c>
      <c r="L33" s="112" t="s">
        <v>180</v>
      </c>
      <c r="M33" s="387"/>
    </row>
    <row r="34" spans="1:13" s="31" customFormat="1" ht="17.399999999999999">
      <c r="A34" s="56"/>
      <c r="B34" s="54" t="s">
        <v>125</v>
      </c>
      <c r="C34" s="32">
        <v>112</v>
      </c>
      <c r="D34" s="32">
        <v>1712</v>
      </c>
      <c r="E34" s="150">
        <v>3</v>
      </c>
      <c r="F34" s="32" t="s">
        <v>132</v>
      </c>
      <c r="G34" s="32">
        <v>1992</v>
      </c>
      <c r="H34" s="32" t="s">
        <v>113</v>
      </c>
      <c r="I34" s="32" t="s">
        <v>133</v>
      </c>
      <c r="J34" s="32">
        <v>1989</v>
      </c>
      <c r="K34" s="32" t="s">
        <v>131</v>
      </c>
      <c r="L34" s="50" t="s">
        <v>246</v>
      </c>
      <c r="M34" s="123" t="s">
        <v>238</v>
      </c>
    </row>
    <row r="35" spans="1:13" s="31" customFormat="1" ht="17.399999999999999">
      <c r="A35" s="56">
        <v>3</v>
      </c>
      <c r="B35" s="54" t="s">
        <v>122</v>
      </c>
      <c r="C35" s="32">
        <v>112</v>
      </c>
      <c r="D35" s="32">
        <v>1712</v>
      </c>
      <c r="E35" s="150">
        <v>1</v>
      </c>
      <c r="F35" s="32" t="s">
        <v>133</v>
      </c>
      <c r="G35" s="32">
        <v>1989</v>
      </c>
      <c r="H35" s="32" t="s">
        <v>131</v>
      </c>
      <c r="I35" s="32" t="s">
        <v>126</v>
      </c>
      <c r="J35" s="32">
        <v>1973</v>
      </c>
      <c r="K35" s="32" t="s">
        <v>127</v>
      </c>
      <c r="L35" s="50" t="s">
        <v>180</v>
      </c>
      <c r="M35" s="122"/>
    </row>
    <row r="36" spans="1:13" s="31" customFormat="1" ht="17.399999999999999">
      <c r="A36" s="56"/>
      <c r="B36" s="54" t="s">
        <v>95</v>
      </c>
      <c r="C36" s="32">
        <v>112</v>
      </c>
      <c r="D36" s="32">
        <v>1712</v>
      </c>
      <c r="E36" s="150">
        <v>2</v>
      </c>
      <c r="F36" s="32" t="s">
        <v>52</v>
      </c>
      <c r="G36" s="32">
        <v>1989</v>
      </c>
      <c r="H36" s="32" t="s">
        <v>18</v>
      </c>
      <c r="I36" s="32">
        <v>7733026</v>
      </c>
      <c r="J36" s="32">
        <v>1977</v>
      </c>
      <c r="K36" s="32" t="s">
        <v>61</v>
      </c>
      <c r="L36" s="50" t="s">
        <v>250</v>
      </c>
      <c r="M36" s="122"/>
    </row>
    <row r="37" spans="1:13" s="31" customFormat="1" ht="17.399999999999999">
      <c r="A37" s="56"/>
      <c r="B37" s="54" t="s">
        <v>95</v>
      </c>
      <c r="C37" s="32">
        <v>112</v>
      </c>
      <c r="D37" s="32">
        <v>1712</v>
      </c>
      <c r="E37" s="150">
        <v>3</v>
      </c>
      <c r="F37" s="32" t="s">
        <v>50</v>
      </c>
      <c r="G37" s="32">
        <v>1974</v>
      </c>
      <c r="H37" s="32" t="s">
        <v>15</v>
      </c>
      <c r="I37" s="32" t="s">
        <v>36</v>
      </c>
      <c r="J37" s="32">
        <v>1992</v>
      </c>
      <c r="K37" s="32" t="s">
        <v>13</v>
      </c>
      <c r="L37" s="50" t="s">
        <v>250</v>
      </c>
      <c r="M37" s="122"/>
    </row>
    <row r="38" spans="1:13" s="31" customFormat="1" ht="17.399999999999999">
      <c r="A38" s="56"/>
      <c r="B38" s="54" t="s">
        <v>122</v>
      </c>
      <c r="C38" s="32">
        <v>112</v>
      </c>
      <c r="D38" s="32">
        <v>1712</v>
      </c>
      <c r="E38" s="150">
        <v>4</v>
      </c>
      <c r="F38" s="32" t="s">
        <v>123</v>
      </c>
      <c r="G38" s="32">
        <v>1992</v>
      </c>
      <c r="H38" s="32" t="s">
        <v>113</v>
      </c>
      <c r="I38" s="32" t="s">
        <v>124</v>
      </c>
      <c r="J38" s="32">
        <v>1992</v>
      </c>
      <c r="K38" s="32" t="s">
        <v>113</v>
      </c>
      <c r="L38" s="50" t="s">
        <v>180</v>
      </c>
      <c r="M38" s="122"/>
    </row>
    <row r="39" spans="1:13" s="31" customFormat="1" ht="17.399999999999999">
      <c r="A39" s="56">
        <v>32</v>
      </c>
      <c r="B39" s="54">
        <v>46104</v>
      </c>
      <c r="C39" s="32">
        <v>112</v>
      </c>
      <c r="D39" s="32">
        <v>1812</v>
      </c>
      <c r="E39" s="32">
        <v>1</v>
      </c>
      <c r="F39" s="32" t="s">
        <v>43</v>
      </c>
      <c r="G39" s="32">
        <v>1974</v>
      </c>
      <c r="H39" s="32" t="s">
        <v>15</v>
      </c>
      <c r="I39" s="32" t="s">
        <v>771</v>
      </c>
      <c r="J39" s="32">
        <v>1996</v>
      </c>
      <c r="K39" s="32" t="s">
        <v>13</v>
      </c>
      <c r="L39" s="50" t="s">
        <v>245</v>
      </c>
      <c r="M39" s="374"/>
    </row>
    <row r="40" spans="1:13" s="31" customFormat="1" ht="17.399999999999999">
      <c r="A40" s="56">
        <v>18</v>
      </c>
      <c r="B40" s="54">
        <v>45709</v>
      </c>
      <c r="C40" s="32">
        <v>112</v>
      </c>
      <c r="D40" s="32">
        <v>1212</v>
      </c>
      <c r="E40" s="32">
        <v>1</v>
      </c>
      <c r="F40" s="32" t="s">
        <v>85</v>
      </c>
      <c r="G40" s="32">
        <v>1989</v>
      </c>
      <c r="H40" s="32" t="s">
        <v>780</v>
      </c>
      <c r="I40" s="32" t="s">
        <v>779</v>
      </c>
      <c r="J40" s="32">
        <v>1994</v>
      </c>
      <c r="K40" s="32" t="s">
        <v>781</v>
      </c>
      <c r="L40" s="50" t="s">
        <v>776</v>
      </c>
      <c r="M40" s="374"/>
    </row>
    <row r="41" spans="1:13" s="31" customFormat="1" ht="17.399999999999999">
      <c r="A41" s="56">
        <v>19</v>
      </c>
      <c r="B41" s="54">
        <v>45709</v>
      </c>
      <c r="C41" s="32">
        <v>112</v>
      </c>
      <c r="D41" s="32">
        <v>1212</v>
      </c>
      <c r="E41" s="32">
        <v>2</v>
      </c>
      <c r="F41" s="32" t="s">
        <v>17</v>
      </c>
      <c r="G41" s="32">
        <v>1989</v>
      </c>
      <c r="H41" s="32" t="s">
        <v>780</v>
      </c>
      <c r="I41" s="32" t="s">
        <v>111</v>
      </c>
      <c r="J41" s="32">
        <v>1974</v>
      </c>
      <c r="K41" s="32" t="s">
        <v>783</v>
      </c>
      <c r="L41" s="50" t="s">
        <v>776</v>
      </c>
      <c r="M41" s="374"/>
    </row>
    <row r="42" spans="1:13" s="31" customFormat="1" ht="17.399999999999999">
      <c r="A42" s="56">
        <v>20</v>
      </c>
      <c r="B42" s="54">
        <v>45709</v>
      </c>
      <c r="C42" s="32">
        <v>112</v>
      </c>
      <c r="D42" s="32">
        <v>1212</v>
      </c>
      <c r="E42" s="32">
        <v>3</v>
      </c>
      <c r="F42" s="32" t="s">
        <v>20</v>
      </c>
      <c r="G42" s="32">
        <v>1988</v>
      </c>
      <c r="H42" s="32" t="s">
        <v>781</v>
      </c>
      <c r="I42" s="32" t="s">
        <v>140</v>
      </c>
      <c r="J42" s="32">
        <v>1974</v>
      </c>
      <c r="K42" s="32" t="s">
        <v>782</v>
      </c>
      <c r="L42" s="50" t="s">
        <v>776</v>
      </c>
      <c r="M42" s="374"/>
    </row>
    <row r="43" spans="1:13" s="31" customFormat="1" ht="17.399999999999999">
      <c r="A43" s="56">
        <v>21</v>
      </c>
      <c r="B43" s="54">
        <v>45709</v>
      </c>
      <c r="C43" s="32">
        <v>112</v>
      </c>
      <c r="D43" s="32">
        <v>1212</v>
      </c>
      <c r="E43" s="32">
        <v>4</v>
      </c>
      <c r="F43" s="32" t="s">
        <v>105</v>
      </c>
      <c r="G43" s="32">
        <v>1974</v>
      </c>
      <c r="H43" s="32" t="s">
        <v>756</v>
      </c>
      <c r="I43" s="32" t="s">
        <v>425</v>
      </c>
      <c r="J43" s="32">
        <v>1977</v>
      </c>
      <c r="K43" s="32" t="s">
        <v>782</v>
      </c>
      <c r="L43" s="50" t="s">
        <v>776</v>
      </c>
      <c r="M43" s="374"/>
    </row>
    <row r="44" spans="1:13" s="31" customFormat="1" ht="17.399999999999999">
      <c r="A44" s="56">
        <v>17</v>
      </c>
      <c r="B44" s="54">
        <v>45679</v>
      </c>
      <c r="C44" s="32">
        <v>112</v>
      </c>
      <c r="D44" s="32">
        <v>1212</v>
      </c>
      <c r="E44" s="32">
        <v>4</v>
      </c>
      <c r="F44" s="32" t="s">
        <v>14</v>
      </c>
      <c r="G44" s="32">
        <v>1974</v>
      </c>
      <c r="H44" s="32" t="s">
        <v>15</v>
      </c>
      <c r="I44" s="32" t="s">
        <v>105</v>
      </c>
      <c r="J44" s="32">
        <v>1974</v>
      </c>
      <c r="K44" s="32" t="s">
        <v>15</v>
      </c>
      <c r="L44" s="50" t="s">
        <v>776</v>
      </c>
      <c r="M44" s="374"/>
    </row>
    <row r="45" spans="1:13" s="31" customFormat="1" ht="17.399999999999999">
      <c r="A45" s="56">
        <v>16</v>
      </c>
      <c r="B45" s="54">
        <v>45672</v>
      </c>
      <c r="C45" s="32">
        <v>112</v>
      </c>
      <c r="D45" s="32">
        <v>1112</v>
      </c>
      <c r="E45" s="32">
        <v>1</v>
      </c>
      <c r="F45" s="32" t="s">
        <v>37</v>
      </c>
      <c r="G45" s="32">
        <v>1989</v>
      </c>
      <c r="H45" s="32" t="s">
        <v>13</v>
      </c>
      <c r="I45" s="32" t="s">
        <v>777</v>
      </c>
      <c r="J45" s="32">
        <v>1992</v>
      </c>
      <c r="K45" s="32" t="s">
        <v>13</v>
      </c>
      <c r="L45" s="50" t="s">
        <v>776</v>
      </c>
      <c r="M45" s="374"/>
    </row>
    <row r="46" spans="1:13" s="31" customFormat="1" ht="17.399999999999999">
      <c r="A46" s="56">
        <v>11</v>
      </c>
      <c r="B46" s="54">
        <v>45471</v>
      </c>
      <c r="C46" s="32">
        <v>112</v>
      </c>
      <c r="D46" s="32">
        <v>1512</v>
      </c>
      <c r="E46" s="32">
        <v>1</v>
      </c>
      <c r="F46" s="32" t="s">
        <v>64</v>
      </c>
      <c r="G46" s="32">
        <v>1989</v>
      </c>
      <c r="H46" s="32" t="s">
        <v>18</v>
      </c>
      <c r="I46" s="32" t="s">
        <v>441</v>
      </c>
      <c r="J46" s="32">
        <v>1992</v>
      </c>
      <c r="K46" s="32" t="s">
        <v>13</v>
      </c>
      <c r="L46" s="50" t="s">
        <v>245</v>
      </c>
      <c r="M46" s="374"/>
    </row>
    <row r="47" spans="1:13" s="31" customFormat="1" ht="17.399999999999999">
      <c r="A47" s="56">
        <v>12</v>
      </c>
      <c r="B47" s="54">
        <v>45471</v>
      </c>
      <c r="C47" s="32">
        <v>112</v>
      </c>
      <c r="D47" s="32">
        <v>1512</v>
      </c>
      <c r="E47" s="32">
        <v>3</v>
      </c>
      <c r="F47" s="32" t="s">
        <v>59</v>
      </c>
      <c r="G47" s="32">
        <v>1974</v>
      </c>
      <c r="H47" s="32" t="s">
        <v>15</v>
      </c>
      <c r="I47" s="32" t="s">
        <v>611</v>
      </c>
      <c r="J47" s="32">
        <v>1974</v>
      </c>
      <c r="K47" s="32" t="s">
        <v>756</v>
      </c>
      <c r="L47" s="50" t="s">
        <v>245</v>
      </c>
      <c r="M47" s="374"/>
    </row>
    <row r="48" spans="1:13" s="31" customFormat="1" ht="17.399999999999999">
      <c r="A48" s="56">
        <v>13</v>
      </c>
      <c r="B48" s="54">
        <v>45471</v>
      </c>
      <c r="C48" s="32">
        <v>112</v>
      </c>
      <c r="D48" s="32">
        <v>1512</v>
      </c>
      <c r="E48" s="32">
        <v>4</v>
      </c>
      <c r="F48" s="32" t="s">
        <v>57</v>
      </c>
      <c r="G48" s="32">
        <v>1974</v>
      </c>
      <c r="H48" s="32" t="s">
        <v>15</v>
      </c>
      <c r="I48" s="32" t="s">
        <v>182</v>
      </c>
      <c r="J48" s="32">
        <v>1989</v>
      </c>
      <c r="K48" s="32" t="s">
        <v>18</v>
      </c>
      <c r="L48" s="50" t="s">
        <v>245</v>
      </c>
      <c r="M48" s="374"/>
    </row>
    <row r="49" spans="1:13" s="31" customFormat="1" ht="17.399999999999999">
      <c r="A49" s="56">
        <v>2</v>
      </c>
      <c r="B49" s="54">
        <v>45328</v>
      </c>
      <c r="C49" s="81">
        <v>112</v>
      </c>
      <c r="D49" s="81">
        <v>1412</v>
      </c>
      <c r="E49" s="32">
        <v>1</v>
      </c>
      <c r="F49" s="38" t="s">
        <v>343</v>
      </c>
      <c r="G49" s="38">
        <v>1996</v>
      </c>
      <c r="H49" s="38" t="s">
        <v>113</v>
      </c>
      <c r="I49" s="38" t="s">
        <v>330</v>
      </c>
      <c r="J49" s="38">
        <v>1989</v>
      </c>
      <c r="K49" s="38" t="s">
        <v>131</v>
      </c>
      <c r="L49" s="50" t="s">
        <v>628</v>
      </c>
      <c r="M49" s="123" t="s">
        <v>745</v>
      </c>
    </row>
    <row r="50" spans="1:13" s="31" customFormat="1" ht="17.399999999999999">
      <c r="A50" s="56">
        <v>3</v>
      </c>
      <c r="B50" s="54">
        <v>45328</v>
      </c>
      <c r="C50" s="81">
        <v>112</v>
      </c>
      <c r="D50" s="81">
        <v>1412</v>
      </c>
      <c r="E50" s="32">
        <v>3</v>
      </c>
      <c r="F50" s="38" t="s">
        <v>372</v>
      </c>
      <c r="G50" s="38">
        <v>1989</v>
      </c>
      <c r="H50" s="38" t="s">
        <v>131</v>
      </c>
      <c r="I50" s="372" t="s">
        <v>395</v>
      </c>
      <c r="J50" s="372">
        <v>1992</v>
      </c>
      <c r="K50" s="372" t="s">
        <v>113</v>
      </c>
      <c r="L50" s="50" t="s">
        <v>744</v>
      </c>
      <c r="M50" s="123"/>
    </row>
    <row r="51" spans="1:13" s="31" customFormat="1" ht="17.399999999999999">
      <c r="A51" s="56">
        <v>4</v>
      </c>
      <c r="B51" s="54">
        <v>45328</v>
      </c>
      <c r="C51" s="81">
        <v>112</v>
      </c>
      <c r="D51" s="81">
        <v>1412</v>
      </c>
      <c r="E51" s="32">
        <v>4</v>
      </c>
      <c r="F51" s="38" t="s">
        <v>366</v>
      </c>
      <c r="G51" s="38">
        <v>1974</v>
      </c>
      <c r="H51" s="38" t="s">
        <v>127</v>
      </c>
      <c r="I51" s="372" t="s">
        <v>394</v>
      </c>
      <c r="J51" s="372">
        <v>1996</v>
      </c>
      <c r="K51" s="372" t="s">
        <v>113</v>
      </c>
      <c r="L51" s="50" t="s">
        <v>744</v>
      </c>
      <c r="M51" s="123"/>
    </row>
    <row r="52" spans="1:13" s="31" customFormat="1" ht="17.399999999999999">
      <c r="A52" s="56">
        <v>1</v>
      </c>
      <c r="B52" s="54">
        <v>45317</v>
      </c>
      <c r="C52" s="81">
        <v>112</v>
      </c>
      <c r="D52" s="81">
        <v>1412</v>
      </c>
      <c r="E52" s="32">
        <v>2</v>
      </c>
      <c r="F52" s="38" t="s">
        <v>326</v>
      </c>
      <c r="G52" s="38">
        <v>1989</v>
      </c>
      <c r="H52" s="38" t="s">
        <v>131</v>
      </c>
      <c r="I52" s="38" t="s">
        <v>320</v>
      </c>
      <c r="J52" s="38">
        <v>1988</v>
      </c>
      <c r="K52" s="38" t="s">
        <v>113</v>
      </c>
      <c r="L52" s="50" t="s">
        <v>615</v>
      </c>
      <c r="M52" s="123" t="s">
        <v>743</v>
      </c>
    </row>
    <row r="53" spans="1:13" s="31" customFormat="1" ht="17.399999999999999">
      <c r="A53" s="56">
        <v>21</v>
      </c>
      <c r="B53" s="54">
        <v>45286</v>
      </c>
      <c r="C53" s="81">
        <v>112</v>
      </c>
      <c r="D53" s="81">
        <v>1212</v>
      </c>
      <c r="E53" s="32">
        <v>1</v>
      </c>
      <c r="F53" s="38" t="s">
        <v>358</v>
      </c>
      <c r="G53" s="38">
        <v>1977</v>
      </c>
      <c r="H53" s="38" t="s">
        <v>127</v>
      </c>
      <c r="I53" s="38" t="s">
        <v>85</v>
      </c>
      <c r="J53" s="38">
        <v>1989</v>
      </c>
      <c r="K53" s="38" t="s">
        <v>18</v>
      </c>
      <c r="L53" s="50" t="s">
        <v>738</v>
      </c>
      <c r="M53" s="125"/>
    </row>
    <row r="54" spans="1:13" s="31" customFormat="1" ht="17.399999999999999">
      <c r="A54" s="56">
        <v>20</v>
      </c>
      <c r="B54" s="54">
        <v>45280</v>
      </c>
      <c r="C54" s="81">
        <v>112</v>
      </c>
      <c r="D54" s="81">
        <v>1112</v>
      </c>
      <c r="E54" s="32">
        <v>3</v>
      </c>
      <c r="F54" s="38" t="s">
        <v>353</v>
      </c>
      <c r="G54" s="38">
        <v>1992</v>
      </c>
      <c r="H54" s="38" t="s">
        <v>113</v>
      </c>
      <c r="I54" s="131">
        <v>9134564</v>
      </c>
      <c r="J54" s="131">
        <v>1991</v>
      </c>
      <c r="K54" s="131" t="s">
        <v>129</v>
      </c>
      <c r="L54" s="50" t="s">
        <v>732</v>
      </c>
      <c r="M54" s="125"/>
    </row>
    <row r="55" spans="1:13" s="92" customFormat="1" ht="17.399999999999999">
      <c r="A55" s="56">
        <v>18</v>
      </c>
      <c r="B55" s="54">
        <v>45222</v>
      </c>
      <c r="C55" s="81">
        <v>112</v>
      </c>
      <c r="D55" s="81">
        <v>1512</v>
      </c>
      <c r="E55" s="32">
        <v>2</v>
      </c>
      <c r="F55" s="38" t="s">
        <v>181</v>
      </c>
      <c r="G55" s="38">
        <v>1989</v>
      </c>
      <c r="H55" s="38" t="s">
        <v>131</v>
      </c>
      <c r="I55" s="131">
        <v>96320326</v>
      </c>
      <c r="J55" s="131">
        <v>1996</v>
      </c>
      <c r="K55" s="131" t="s">
        <v>129</v>
      </c>
      <c r="L55" s="50" t="s">
        <v>628</v>
      </c>
      <c r="M55" s="125" t="s">
        <v>616</v>
      </c>
    </row>
    <row r="56" spans="1:13" s="31" customFormat="1" ht="17.399999999999999">
      <c r="A56" s="56">
        <v>16</v>
      </c>
      <c r="B56" s="54">
        <v>45194</v>
      </c>
      <c r="C56" s="81">
        <v>112</v>
      </c>
      <c r="D56" s="81">
        <v>1812</v>
      </c>
      <c r="E56" s="150">
        <v>3</v>
      </c>
      <c r="F56" s="38" t="s">
        <v>41</v>
      </c>
      <c r="G56" s="38">
        <v>1994</v>
      </c>
      <c r="H56" s="38" t="s">
        <v>13</v>
      </c>
      <c r="I56" s="131">
        <v>9134510</v>
      </c>
      <c r="J56" s="131">
        <v>1991</v>
      </c>
      <c r="K56" s="131" t="s">
        <v>129</v>
      </c>
      <c r="L56" s="50" t="s">
        <v>615</v>
      </c>
      <c r="M56" s="125" t="s">
        <v>488</v>
      </c>
    </row>
    <row r="57" spans="1:13" s="31" customFormat="1" ht="17.399999999999999">
      <c r="A57" s="56">
        <v>15</v>
      </c>
      <c r="B57" s="54">
        <v>45155</v>
      </c>
      <c r="C57" s="81">
        <v>112</v>
      </c>
      <c r="D57" s="81">
        <v>1112</v>
      </c>
      <c r="E57" s="32">
        <v>4</v>
      </c>
      <c r="F57" s="38" t="s">
        <v>612</v>
      </c>
      <c r="G57" s="38">
        <v>1992</v>
      </c>
      <c r="H57" s="38" t="s">
        <v>113</v>
      </c>
      <c r="I57" s="131">
        <v>9134584</v>
      </c>
      <c r="J57" s="131">
        <v>1991</v>
      </c>
      <c r="K57" s="131" t="s">
        <v>61</v>
      </c>
      <c r="L57" s="50" t="s">
        <v>613</v>
      </c>
      <c r="M57" s="123"/>
    </row>
    <row r="58" spans="1:13" s="31" customFormat="1" ht="17.399999999999999">
      <c r="A58" s="56" t="s">
        <v>555</v>
      </c>
      <c r="B58" s="54">
        <v>44894</v>
      </c>
      <c r="C58" s="81">
        <v>112</v>
      </c>
      <c r="D58" s="81">
        <v>1812</v>
      </c>
      <c r="E58" s="32">
        <v>2</v>
      </c>
      <c r="F58" s="38" t="s">
        <v>345</v>
      </c>
      <c r="G58" s="38">
        <v>1998</v>
      </c>
      <c r="H58" s="38" t="s">
        <v>113</v>
      </c>
      <c r="I58" s="91">
        <v>59812</v>
      </c>
      <c r="J58" s="91">
        <v>1974</v>
      </c>
      <c r="K58" s="91" t="s">
        <v>177</v>
      </c>
      <c r="L58" s="50" t="s">
        <v>468</v>
      </c>
      <c r="M58" s="129" t="s">
        <v>482</v>
      </c>
    </row>
    <row r="59" spans="1:13" s="31" customFormat="1" ht="17.399999999999999">
      <c r="A59" s="56">
        <v>1</v>
      </c>
      <c r="B59" s="54">
        <v>44613</v>
      </c>
      <c r="C59" s="32">
        <v>112</v>
      </c>
      <c r="D59" s="32">
        <v>1512</v>
      </c>
      <c r="E59" s="150">
        <v>2</v>
      </c>
      <c r="F59" s="38">
        <v>8833344</v>
      </c>
      <c r="G59" s="38">
        <v>1988</v>
      </c>
      <c r="H59" s="38" t="s">
        <v>129</v>
      </c>
      <c r="I59" s="32" t="s">
        <v>182</v>
      </c>
      <c r="J59" s="32">
        <v>1989</v>
      </c>
      <c r="K59" s="38" t="s">
        <v>131</v>
      </c>
      <c r="L59" s="50" t="s">
        <v>208</v>
      </c>
      <c r="M59" s="123" t="s">
        <v>186</v>
      </c>
    </row>
    <row r="60" spans="1:13" s="31" customFormat="1" ht="17.399999999999999">
      <c r="A60" s="56">
        <v>9</v>
      </c>
      <c r="B60" s="54">
        <v>44412</v>
      </c>
      <c r="C60" s="32">
        <v>112</v>
      </c>
      <c r="D60" s="32">
        <v>1712</v>
      </c>
      <c r="E60" s="150">
        <v>1</v>
      </c>
      <c r="F60" s="32" t="s">
        <v>42</v>
      </c>
      <c r="G60" s="38">
        <v>1992</v>
      </c>
      <c r="H60" s="38" t="s">
        <v>13</v>
      </c>
      <c r="I60" s="32" t="s">
        <v>128</v>
      </c>
      <c r="J60" s="32">
        <v>1989</v>
      </c>
      <c r="K60" s="38" t="s">
        <v>18</v>
      </c>
      <c r="L60" s="50" t="s">
        <v>180</v>
      </c>
      <c r="M60" s="122" t="s">
        <v>267</v>
      </c>
    </row>
    <row r="61" spans="1:13" s="31" customFormat="1" ht="17.399999999999999">
      <c r="A61" s="56">
        <v>6</v>
      </c>
      <c r="B61" s="54">
        <v>44377</v>
      </c>
      <c r="C61" s="32">
        <v>112</v>
      </c>
      <c r="D61" s="32">
        <v>1712</v>
      </c>
      <c r="E61" s="150">
        <v>1</v>
      </c>
      <c r="F61" s="32" t="s">
        <v>50</v>
      </c>
      <c r="G61" s="32">
        <v>1974</v>
      </c>
      <c r="H61" s="32" t="s">
        <v>15</v>
      </c>
      <c r="I61" s="32" t="s">
        <v>42</v>
      </c>
      <c r="J61" s="32">
        <v>1992</v>
      </c>
      <c r="K61" s="32" t="s">
        <v>13</v>
      </c>
      <c r="L61" s="50" t="s">
        <v>180</v>
      </c>
      <c r="M61" s="378"/>
    </row>
    <row r="62" spans="1:13" s="31" customFormat="1" ht="17.399999999999999">
      <c r="A62" s="56">
        <v>4</v>
      </c>
      <c r="B62" s="54">
        <v>44286</v>
      </c>
      <c r="C62" s="32">
        <v>112</v>
      </c>
      <c r="D62" s="32">
        <v>1712</v>
      </c>
      <c r="E62" s="150">
        <v>1</v>
      </c>
      <c r="F62" s="32" t="s">
        <v>126</v>
      </c>
      <c r="G62" s="32">
        <v>1973</v>
      </c>
      <c r="H62" s="32" t="s">
        <v>127</v>
      </c>
      <c r="I62" s="32" t="s">
        <v>128</v>
      </c>
      <c r="J62" s="32">
        <v>1974</v>
      </c>
      <c r="K62" s="32" t="s">
        <v>127</v>
      </c>
      <c r="L62" s="50" t="s">
        <v>180</v>
      </c>
      <c r="M62" s="400"/>
    </row>
    <row r="63" spans="1:13" s="31" customFormat="1" ht="17.399999999999999">
      <c r="A63" s="79">
        <v>6</v>
      </c>
      <c r="B63" s="80">
        <v>45435</v>
      </c>
      <c r="C63" s="81">
        <v>113</v>
      </c>
      <c r="D63" s="81">
        <v>1813</v>
      </c>
      <c r="E63" s="81">
        <v>1</v>
      </c>
      <c r="F63" s="82">
        <v>65412</v>
      </c>
      <c r="G63" s="82">
        <v>1977</v>
      </c>
      <c r="H63" s="82" t="s">
        <v>760</v>
      </c>
      <c r="I63" s="82" t="s">
        <v>752</v>
      </c>
      <c r="J63" s="82">
        <v>1974</v>
      </c>
      <c r="K63" s="82" t="s">
        <v>757</v>
      </c>
      <c r="L63" s="83" t="s">
        <v>766</v>
      </c>
      <c r="M63" s="388"/>
    </row>
    <row r="64" spans="1:13" s="31" customFormat="1" ht="17.399999999999999">
      <c r="A64" s="79">
        <v>7</v>
      </c>
      <c r="B64" s="80">
        <v>45435</v>
      </c>
      <c r="C64" s="81">
        <v>113</v>
      </c>
      <c r="D64" s="81">
        <v>1813</v>
      </c>
      <c r="E64" s="81">
        <v>2</v>
      </c>
      <c r="F64" s="82" t="s">
        <v>761</v>
      </c>
      <c r="G64" s="82">
        <v>1989</v>
      </c>
      <c r="H64" s="82" t="s">
        <v>758</v>
      </c>
      <c r="I64" s="82" t="s">
        <v>765</v>
      </c>
      <c r="J64" s="82">
        <v>1973</v>
      </c>
      <c r="K64" s="82" t="s">
        <v>757</v>
      </c>
      <c r="L64" s="83" t="s">
        <v>766</v>
      </c>
      <c r="M64" s="384"/>
    </row>
    <row r="65" spans="1:16" s="31" customFormat="1" ht="18" thickBot="1">
      <c r="A65" s="367">
        <v>8</v>
      </c>
      <c r="B65" s="368">
        <v>45435</v>
      </c>
      <c r="C65" s="220">
        <v>113</v>
      </c>
      <c r="D65" s="220">
        <v>1813</v>
      </c>
      <c r="E65" s="220">
        <v>3</v>
      </c>
      <c r="F65" s="370" t="s">
        <v>762</v>
      </c>
      <c r="G65" s="370">
        <v>1988</v>
      </c>
      <c r="H65" s="370" t="s">
        <v>759</v>
      </c>
      <c r="I65" s="370" t="s">
        <v>753</v>
      </c>
      <c r="J65" s="370">
        <v>1974</v>
      </c>
      <c r="K65" s="370" t="s">
        <v>757</v>
      </c>
      <c r="L65" s="397" t="s">
        <v>766</v>
      </c>
      <c r="M65" s="383"/>
    </row>
    <row r="66" spans="1:16" s="31" customFormat="1" ht="17.399999999999999">
      <c r="A66" s="109">
        <v>9</v>
      </c>
      <c r="B66" s="110">
        <v>45435</v>
      </c>
      <c r="C66" s="111">
        <v>113</v>
      </c>
      <c r="D66" s="111">
        <v>1813</v>
      </c>
      <c r="E66" s="111">
        <v>4</v>
      </c>
      <c r="F66" s="111" t="s">
        <v>764</v>
      </c>
      <c r="G66" s="111">
        <v>1974</v>
      </c>
      <c r="H66" s="111" t="s">
        <v>754</v>
      </c>
      <c r="I66" s="111" t="s">
        <v>755</v>
      </c>
      <c r="J66" s="111">
        <v>1973</v>
      </c>
      <c r="K66" s="396" t="s">
        <v>757</v>
      </c>
      <c r="L66" s="399" t="s">
        <v>766</v>
      </c>
      <c r="M66" s="387"/>
      <c r="O66" s="31" t="s">
        <v>627</v>
      </c>
      <c r="P66" s="182"/>
    </row>
    <row r="67" spans="1:16" s="31" customFormat="1" ht="17.399999999999999">
      <c r="A67" s="113">
        <v>14</v>
      </c>
      <c r="B67" s="114">
        <v>45128</v>
      </c>
      <c r="C67" s="115">
        <v>113</v>
      </c>
      <c r="D67" s="115">
        <v>1413</v>
      </c>
      <c r="E67" s="154">
        <v>1</v>
      </c>
      <c r="F67" s="38" t="s">
        <v>323</v>
      </c>
      <c r="G67" s="38">
        <v>1989</v>
      </c>
      <c r="H67" s="38" t="s">
        <v>113</v>
      </c>
      <c r="I67" s="372" t="s">
        <v>398</v>
      </c>
      <c r="J67" s="372">
        <v>1996</v>
      </c>
      <c r="K67" s="372" t="s">
        <v>113</v>
      </c>
      <c r="L67" s="118" t="s">
        <v>582</v>
      </c>
      <c r="M67" s="125"/>
      <c r="N67" s="31" t="s">
        <v>551</v>
      </c>
      <c r="O67" s="31" t="s">
        <v>627</v>
      </c>
    </row>
    <row r="68" spans="1:16" s="31" customFormat="1" ht="17.399999999999999">
      <c r="A68" s="113">
        <v>7</v>
      </c>
      <c r="B68" s="114">
        <v>45009</v>
      </c>
      <c r="C68" s="115">
        <v>113</v>
      </c>
      <c r="D68" s="115">
        <v>1213</v>
      </c>
      <c r="E68" s="154">
        <v>4</v>
      </c>
      <c r="F68" s="38" t="s">
        <v>38</v>
      </c>
      <c r="G68" s="38">
        <v>1988</v>
      </c>
      <c r="H68" s="38" t="s">
        <v>13</v>
      </c>
      <c r="I68" s="38" t="s">
        <v>476</v>
      </c>
      <c r="J68" s="38">
        <v>1974</v>
      </c>
      <c r="K68" s="38" t="s">
        <v>127</v>
      </c>
      <c r="L68" s="118" t="s">
        <v>585</v>
      </c>
      <c r="M68" s="125" t="s">
        <v>550</v>
      </c>
    </row>
    <row r="69" spans="1:16" s="31" customFormat="1" ht="17.399999999999999">
      <c r="A69" s="142">
        <v>6</v>
      </c>
      <c r="B69" s="114">
        <v>45008</v>
      </c>
      <c r="C69" s="115">
        <v>113</v>
      </c>
      <c r="D69" s="115">
        <v>1213</v>
      </c>
      <c r="E69" s="116">
        <v>3</v>
      </c>
      <c r="F69" s="117" t="s">
        <v>35</v>
      </c>
      <c r="G69" s="117">
        <v>1974</v>
      </c>
      <c r="H69" s="117" t="s">
        <v>15</v>
      </c>
      <c r="I69" s="38" t="s">
        <v>345</v>
      </c>
      <c r="J69" s="38">
        <v>1998</v>
      </c>
      <c r="K69" s="38" t="s">
        <v>113</v>
      </c>
      <c r="L69" s="118" t="s">
        <v>547</v>
      </c>
      <c r="M69" s="125"/>
      <c r="O69" s="156" t="s">
        <v>630</v>
      </c>
    </row>
    <row r="70" spans="1:16" s="31" customFormat="1" ht="17.399999999999999">
      <c r="A70" s="113">
        <v>12</v>
      </c>
      <c r="B70" s="114">
        <v>44883</v>
      </c>
      <c r="C70" s="115">
        <v>113</v>
      </c>
      <c r="D70" s="115">
        <v>1213</v>
      </c>
      <c r="E70" s="154">
        <v>2</v>
      </c>
      <c r="F70" s="117" t="s">
        <v>446</v>
      </c>
      <c r="G70" s="117">
        <v>1973</v>
      </c>
      <c r="H70" s="117" t="s">
        <v>447</v>
      </c>
      <c r="I70" s="371" t="s">
        <v>192</v>
      </c>
      <c r="J70" s="371">
        <v>1994</v>
      </c>
      <c r="K70" s="371" t="s">
        <v>18</v>
      </c>
      <c r="L70" s="118" t="s">
        <v>445</v>
      </c>
      <c r="M70" s="125" t="s">
        <v>491</v>
      </c>
    </row>
    <row r="71" spans="1:16" s="31" customFormat="1" ht="17.399999999999999">
      <c r="A71" s="113">
        <v>8</v>
      </c>
      <c r="B71" s="114">
        <v>44392</v>
      </c>
      <c r="C71" s="116">
        <v>113</v>
      </c>
      <c r="D71" s="116">
        <v>1813</v>
      </c>
      <c r="E71" s="154">
        <v>3</v>
      </c>
      <c r="F71" s="116" t="s">
        <v>182</v>
      </c>
      <c r="G71" s="116">
        <v>1989</v>
      </c>
      <c r="H71" s="116" t="s">
        <v>131</v>
      </c>
      <c r="I71" s="116" t="s">
        <v>185</v>
      </c>
      <c r="J71" s="116">
        <v>1974</v>
      </c>
      <c r="K71" s="116" t="s">
        <v>127</v>
      </c>
      <c r="L71" s="118" t="s">
        <v>180</v>
      </c>
      <c r="M71" s="386" t="s">
        <v>266</v>
      </c>
      <c r="N71" s="31" t="s">
        <v>551</v>
      </c>
      <c r="O71" s="31" t="s">
        <v>627</v>
      </c>
    </row>
    <row r="72" spans="1:16" s="31" customFormat="1" ht="17.399999999999999">
      <c r="A72" s="113"/>
      <c r="B72" s="114">
        <v>44392</v>
      </c>
      <c r="C72" s="116">
        <v>113</v>
      </c>
      <c r="D72" s="116">
        <v>1813</v>
      </c>
      <c r="E72" s="154">
        <v>4</v>
      </c>
      <c r="F72" s="116" t="s">
        <v>184</v>
      </c>
      <c r="G72" s="116">
        <v>1994</v>
      </c>
      <c r="H72" s="116" t="s">
        <v>131</v>
      </c>
      <c r="I72" s="116" t="s">
        <v>152</v>
      </c>
      <c r="J72" s="116">
        <v>1988</v>
      </c>
      <c r="K72" s="117" t="s">
        <v>13</v>
      </c>
      <c r="L72" s="118" t="s">
        <v>180</v>
      </c>
      <c r="M72" s="386"/>
      <c r="N72" s="31" t="s">
        <v>551</v>
      </c>
      <c r="O72" s="31" t="s">
        <v>627</v>
      </c>
    </row>
    <row r="73" spans="1:16" s="31" customFormat="1" ht="17.399999999999999">
      <c r="A73" s="113"/>
      <c r="B73" s="114">
        <v>44392</v>
      </c>
      <c r="C73" s="116">
        <v>113</v>
      </c>
      <c r="D73" s="116">
        <v>1713</v>
      </c>
      <c r="E73" s="154">
        <v>3</v>
      </c>
      <c r="F73" s="116">
        <v>64057</v>
      </c>
      <c r="G73" s="116">
        <v>1977</v>
      </c>
      <c r="H73" s="116" t="s">
        <v>177</v>
      </c>
      <c r="I73" s="116" t="s">
        <v>137</v>
      </c>
      <c r="J73" s="116">
        <v>1988</v>
      </c>
      <c r="K73" s="117" t="s">
        <v>113</v>
      </c>
      <c r="L73" s="118" t="s">
        <v>180</v>
      </c>
      <c r="M73" s="386"/>
      <c r="O73" s="31" t="s">
        <v>627</v>
      </c>
    </row>
    <row r="74" spans="1:16" s="31" customFormat="1" ht="17.399999999999999">
      <c r="A74" s="113"/>
      <c r="B74" s="114">
        <v>44392</v>
      </c>
      <c r="C74" s="116">
        <v>113</v>
      </c>
      <c r="D74" s="116">
        <v>1713</v>
      </c>
      <c r="E74" s="154">
        <v>4</v>
      </c>
      <c r="F74" s="116" t="s">
        <v>199</v>
      </c>
      <c r="G74" s="116">
        <v>1974</v>
      </c>
      <c r="H74" s="116" t="s">
        <v>127</v>
      </c>
      <c r="I74" s="116" t="s">
        <v>139</v>
      </c>
      <c r="J74" s="116">
        <v>1974</v>
      </c>
      <c r="K74" s="116" t="s">
        <v>15</v>
      </c>
      <c r="L74" s="118" t="s">
        <v>252</v>
      </c>
      <c r="M74" s="386"/>
      <c r="N74" s="31" t="s">
        <v>632</v>
      </c>
    </row>
    <row r="75" spans="1:16" s="31" customFormat="1" ht="17.399999999999999">
      <c r="A75" s="113"/>
      <c r="B75" s="114"/>
      <c r="C75" s="115">
        <v>113</v>
      </c>
      <c r="D75" s="115">
        <v>1413</v>
      </c>
      <c r="E75" s="154">
        <v>3</v>
      </c>
      <c r="F75" s="117" t="s">
        <v>316</v>
      </c>
      <c r="G75" s="117">
        <v>1988</v>
      </c>
      <c r="H75" s="117" t="s">
        <v>113</v>
      </c>
      <c r="I75" s="140" t="s">
        <v>328</v>
      </c>
      <c r="J75" s="140">
        <v>1989</v>
      </c>
      <c r="K75" s="140" t="s">
        <v>131</v>
      </c>
      <c r="L75" s="50" t="s">
        <v>629</v>
      </c>
      <c r="M75" s="125" t="s">
        <v>549</v>
      </c>
    </row>
    <row r="76" spans="1:16" s="31" customFormat="1" ht="17.399999999999999">
      <c r="A76" s="113">
        <v>35</v>
      </c>
      <c r="B76" s="114">
        <v>46119</v>
      </c>
      <c r="C76" s="116">
        <v>114</v>
      </c>
      <c r="D76" s="116">
        <v>1214</v>
      </c>
      <c r="E76" s="116">
        <v>1</v>
      </c>
      <c r="F76" s="116" t="s">
        <v>260</v>
      </c>
      <c r="G76" s="116">
        <v>1989</v>
      </c>
      <c r="H76" s="116" t="s">
        <v>18</v>
      </c>
      <c r="I76" s="32" t="s">
        <v>20</v>
      </c>
      <c r="J76" s="32">
        <v>1988</v>
      </c>
      <c r="K76" s="32" t="s">
        <v>13</v>
      </c>
      <c r="L76" s="118" t="s">
        <v>821</v>
      </c>
      <c r="M76" s="389"/>
      <c r="O76" s="31" t="s">
        <v>627</v>
      </c>
    </row>
    <row r="77" spans="1:16" s="31" customFormat="1" ht="17.399999999999999">
      <c r="A77" s="56">
        <v>33</v>
      </c>
      <c r="B77" s="54">
        <v>46105</v>
      </c>
      <c r="C77" s="32">
        <v>114</v>
      </c>
      <c r="D77" s="32">
        <v>1114</v>
      </c>
      <c r="E77" s="32">
        <v>1</v>
      </c>
      <c r="F77" s="32" t="s">
        <v>189</v>
      </c>
      <c r="G77" s="32">
        <v>1993</v>
      </c>
      <c r="H77" s="32" t="s">
        <v>15</v>
      </c>
      <c r="I77" s="32" t="s">
        <v>80</v>
      </c>
      <c r="J77" s="32">
        <v>1994</v>
      </c>
      <c r="K77" s="32" t="s">
        <v>13</v>
      </c>
      <c r="L77" s="118" t="s">
        <v>819</v>
      </c>
      <c r="M77" s="377"/>
      <c r="O77" s="31" t="s">
        <v>627</v>
      </c>
    </row>
    <row r="78" spans="1:16" s="31" customFormat="1" ht="17.399999999999999">
      <c r="A78" s="56">
        <v>34</v>
      </c>
      <c r="B78" s="54">
        <v>46105</v>
      </c>
      <c r="C78" s="32">
        <v>114</v>
      </c>
      <c r="D78" s="32">
        <v>1114</v>
      </c>
      <c r="E78" s="32">
        <v>2</v>
      </c>
      <c r="F78" s="32" t="s">
        <v>820</v>
      </c>
      <c r="G78" s="32">
        <v>1996</v>
      </c>
      <c r="H78" s="32" t="s">
        <v>13</v>
      </c>
      <c r="I78" s="32" t="s">
        <v>163</v>
      </c>
      <c r="J78" s="32">
        <v>1991</v>
      </c>
      <c r="K78" s="32" t="s">
        <v>13</v>
      </c>
      <c r="L78" s="118" t="s">
        <v>245</v>
      </c>
      <c r="M78" s="390"/>
      <c r="O78" s="31" t="s">
        <v>627</v>
      </c>
    </row>
    <row r="79" spans="1:16" s="31" customFormat="1" ht="17.399999999999999">
      <c r="A79" s="56">
        <v>15</v>
      </c>
      <c r="B79" s="54">
        <v>45653</v>
      </c>
      <c r="C79" s="32">
        <v>114</v>
      </c>
      <c r="D79" s="32">
        <v>1814</v>
      </c>
      <c r="E79" s="32">
        <v>4</v>
      </c>
      <c r="F79" s="32" t="s">
        <v>68</v>
      </c>
      <c r="G79" s="32">
        <v>1974</v>
      </c>
      <c r="H79" s="32" t="s">
        <v>756</v>
      </c>
      <c r="I79" s="32" t="s">
        <v>199</v>
      </c>
      <c r="J79" s="32">
        <v>1974</v>
      </c>
      <c r="K79" s="32" t="s">
        <v>15</v>
      </c>
      <c r="L79" s="118" t="s">
        <v>245</v>
      </c>
      <c r="M79" s="390"/>
      <c r="O79" s="31" t="s">
        <v>627</v>
      </c>
    </row>
    <row r="80" spans="1:16" s="31" customFormat="1" ht="17.399999999999999">
      <c r="A80" s="56">
        <v>14</v>
      </c>
      <c r="B80" s="54">
        <v>45490</v>
      </c>
      <c r="C80" s="32">
        <v>114</v>
      </c>
      <c r="D80" s="32">
        <v>1414</v>
      </c>
      <c r="E80" s="32">
        <v>4</v>
      </c>
      <c r="F80" s="32" t="s">
        <v>770</v>
      </c>
      <c r="G80" s="32">
        <v>1977</v>
      </c>
      <c r="H80" s="32" t="s">
        <v>15</v>
      </c>
      <c r="I80" s="32" t="s">
        <v>108</v>
      </c>
      <c r="J80" s="32">
        <v>1974</v>
      </c>
      <c r="K80" s="32" t="s">
        <v>756</v>
      </c>
      <c r="L80" s="50" t="s">
        <v>245</v>
      </c>
      <c r="M80" s="377"/>
    </row>
    <row r="81" spans="1:16" s="31" customFormat="1" ht="17.399999999999999">
      <c r="A81" s="56">
        <v>22</v>
      </c>
      <c r="B81" s="54">
        <v>45287</v>
      </c>
      <c r="C81" s="81">
        <v>114</v>
      </c>
      <c r="D81" s="81">
        <v>1714</v>
      </c>
      <c r="E81" s="32">
        <v>2</v>
      </c>
      <c r="F81" s="38" t="s">
        <v>318</v>
      </c>
      <c r="G81" s="38">
        <v>1988</v>
      </c>
      <c r="H81" s="38" t="s">
        <v>113</v>
      </c>
      <c r="I81" s="372" t="s">
        <v>316</v>
      </c>
      <c r="J81" s="372">
        <v>1988</v>
      </c>
      <c r="K81" s="372" t="s">
        <v>113</v>
      </c>
      <c r="L81" s="118" t="s">
        <v>739</v>
      </c>
      <c r="M81" s="123"/>
    </row>
    <row r="82" spans="1:16" s="31" customFormat="1" ht="17.399999999999999">
      <c r="A82" s="56" t="s">
        <v>151</v>
      </c>
      <c r="B82" s="54">
        <v>45238</v>
      </c>
      <c r="C82" s="81">
        <v>114</v>
      </c>
      <c r="D82" s="81">
        <v>1814</v>
      </c>
      <c r="E82" s="32">
        <v>1</v>
      </c>
      <c r="F82" s="38" t="s">
        <v>74</v>
      </c>
      <c r="G82" s="38">
        <v>1988</v>
      </c>
      <c r="H82" s="38" t="s">
        <v>13</v>
      </c>
      <c r="I82" s="131">
        <v>96320368</v>
      </c>
      <c r="J82" s="131">
        <v>1996</v>
      </c>
      <c r="K82" s="131" t="s">
        <v>129</v>
      </c>
      <c r="L82" s="118" t="s">
        <v>700</v>
      </c>
      <c r="M82" s="123" t="s">
        <v>701</v>
      </c>
      <c r="O82" s="31" t="s">
        <v>627</v>
      </c>
    </row>
    <row r="83" spans="1:16" s="31" customFormat="1" ht="17.399999999999999">
      <c r="A83" s="56">
        <v>9</v>
      </c>
      <c r="B83" s="54">
        <v>45076</v>
      </c>
      <c r="C83" s="81">
        <v>114</v>
      </c>
      <c r="D83" s="81">
        <v>1414</v>
      </c>
      <c r="E83" s="150">
        <v>4</v>
      </c>
      <c r="F83" s="38" t="s">
        <v>552</v>
      </c>
      <c r="G83" s="38">
        <v>1989</v>
      </c>
      <c r="H83" s="38" t="s">
        <v>131</v>
      </c>
      <c r="I83" s="372" t="s">
        <v>292</v>
      </c>
      <c r="J83" s="372">
        <v>1973</v>
      </c>
      <c r="K83" s="372" t="s">
        <v>127</v>
      </c>
      <c r="L83" s="118" t="s">
        <v>615</v>
      </c>
      <c r="M83" s="123" t="s">
        <v>491</v>
      </c>
      <c r="O83" s="156" t="s">
        <v>630</v>
      </c>
    </row>
    <row r="84" spans="1:16" s="31" customFormat="1" ht="17.399999999999999">
      <c r="A84" s="75">
        <v>5</v>
      </c>
      <c r="B84" s="54">
        <v>44987</v>
      </c>
      <c r="C84" s="81">
        <v>114</v>
      </c>
      <c r="D84" s="81">
        <v>1514</v>
      </c>
      <c r="E84" s="32">
        <v>2</v>
      </c>
      <c r="F84" s="38" t="s">
        <v>514</v>
      </c>
      <c r="G84" s="38">
        <v>1994</v>
      </c>
      <c r="H84" s="38" t="s">
        <v>113</v>
      </c>
      <c r="I84" s="117" t="s">
        <v>141</v>
      </c>
      <c r="J84" s="117">
        <v>1977</v>
      </c>
      <c r="K84" s="117" t="s">
        <v>127</v>
      </c>
      <c r="L84" s="50" t="s">
        <v>515</v>
      </c>
      <c r="M84" s="123"/>
      <c r="O84" s="31" t="s">
        <v>627</v>
      </c>
    </row>
    <row r="85" spans="1:16" s="31" customFormat="1" ht="17.399999999999999">
      <c r="A85" s="75">
        <v>2</v>
      </c>
      <c r="B85" s="54">
        <v>44940</v>
      </c>
      <c r="C85" s="81">
        <v>114</v>
      </c>
      <c r="D85" s="81">
        <v>1114</v>
      </c>
      <c r="E85" s="32">
        <v>1</v>
      </c>
      <c r="F85" s="38" t="s">
        <v>206</v>
      </c>
      <c r="G85" s="38">
        <v>1989</v>
      </c>
      <c r="H85" s="38" t="s">
        <v>131</v>
      </c>
      <c r="I85" s="371" t="s">
        <v>308</v>
      </c>
      <c r="J85" s="371">
        <v>1993</v>
      </c>
      <c r="K85" s="371" t="s">
        <v>113</v>
      </c>
      <c r="L85" s="118" t="s">
        <v>626</v>
      </c>
      <c r="M85" s="123"/>
      <c r="O85" s="31" t="s">
        <v>627</v>
      </c>
    </row>
    <row r="86" spans="1:16" s="31" customFormat="1" ht="17.399999999999999">
      <c r="A86" s="56"/>
      <c r="B86" s="54">
        <v>44940</v>
      </c>
      <c r="C86" s="81">
        <v>114</v>
      </c>
      <c r="D86" s="81">
        <v>1114</v>
      </c>
      <c r="E86" s="150">
        <v>2</v>
      </c>
      <c r="F86" s="38" t="s">
        <v>275</v>
      </c>
      <c r="G86" s="38">
        <v>1998</v>
      </c>
      <c r="H86" s="38" t="s">
        <v>113</v>
      </c>
      <c r="I86" s="131" t="s">
        <v>189</v>
      </c>
      <c r="J86" s="131">
        <v>1993</v>
      </c>
      <c r="K86" s="131" t="s">
        <v>15</v>
      </c>
      <c r="L86" s="50" t="s">
        <v>615</v>
      </c>
      <c r="M86" s="123" t="s">
        <v>549</v>
      </c>
      <c r="O86" s="31" t="s">
        <v>627</v>
      </c>
    </row>
    <row r="87" spans="1:16" s="31" customFormat="1" ht="17.399999999999999">
      <c r="A87" s="56">
        <v>15</v>
      </c>
      <c r="B87" s="54">
        <v>44910</v>
      </c>
      <c r="C87" s="81">
        <v>114</v>
      </c>
      <c r="D87" s="81">
        <v>1114</v>
      </c>
      <c r="E87" s="150">
        <v>1</v>
      </c>
      <c r="F87" s="131" t="s">
        <v>307</v>
      </c>
      <c r="G87" s="131">
        <v>1993</v>
      </c>
      <c r="H87" s="131" t="s">
        <v>127</v>
      </c>
      <c r="I87" s="38" t="s">
        <v>206</v>
      </c>
      <c r="J87" s="38">
        <v>1989</v>
      </c>
      <c r="K87" s="38" t="s">
        <v>131</v>
      </c>
      <c r="L87" s="118" t="s">
        <v>477</v>
      </c>
      <c r="M87" s="123"/>
      <c r="O87" s="156" t="s">
        <v>630</v>
      </c>
    </row>
    <row r="88" spans="1:16" s="31" customFormat="1" ht="17.399999999999999">
      <c r="A88" s="56" t="s">
        <v>548</v>
      </c>
      <c r="B88" s="54">
        <v>44910</v>
      </c>
      <c r="C88" s="81">
        <v>114</v>
      </c>
      <c r="D88" s="81">
        <v>1114</v>
      </c>
      <c r="E88" s="150">
        <v>4</v>
      </c>
      <c r="F88" s="38" t="s">
        <v>510</v>
      </c>
      <c r="G88" s="38">
        <v>1988</v>
      </c>
      <c r="H88" s="38" t="s">
        <v>131</v>
      </c>
      <c r="I88" s="38" t="s">
        <v>342</v>
      </c>
      <c r="J88" s="38">
        <v>1996</v>
      </c>
      <c r="K88" s="38" t="s">
        <v>113</v>
      </c>
      <c r="L88" s="118" t="s">
        <v>477</v>
      </c>
      <c r="M88" s="129" t="s">
        <v>484</v>
      </c>
      <c r="O88" s="31" t="s">
        <v>627</v>
      </c>
    </row>
    <row r="89" spans="1:16" s="31" customFormat="1" ht="17.399999999999999">
      <c r="A89" s="56"/>
      <c r="B89" s="54">
        <v>44910</v>
      </c>
      <c r="C89" s="81">
        <v>114</v>
      </c>
      <c r="D89" s="81">
        <v>1114</v>
      </c>
      <c r="E89" s="150">
        <v>2</v>
      </c>
      <c r="F89" s="131" t="s">
        <v>191</v>
      </c>
      <c r="G89" s="131">
        <v>1993</v>
      </c>
      <c r="H89" s="131" t="s">
        <v>13</v>
      </c>
      <c r="I89" s="38" t="s">
        <v>275</v>
      </c>
      <c r="J89" s="38">
        <v>1998</v>
      </c>
      <c r="K89" s="38" t="s">
        <v>113</v>
      </c>
      <c r="L89" s="50" t="s">
        <v>477</v>
      </c>
      <c r="M89" s="123"/>
      <c r="O89" s="156" t="s">
        <v>630</v>
      </c>
    </row>
    <row r="90" spans="1:16" s="31" customFormat="1" ht="17.399999999999999">
      <c r="A90" s="56"/>
      <c r="B90" s="54">
        <v>44910</v>
      </c>
      <c r="C90" s="81">
        <v>114</v>
      </c>
      <c r="D90" s="81">
        <v>1114</v>
      </c>
      <c r="E90" s="150">
        <v>3</v>
      </c>
      <c r="F90" s="38" t="s">
        <v>476</v>
      </c>
      <c r="G90" s="38">
        <v>1974</v>
      </c>
      <c r="H90" s="38" t="s">
        <v>127</v>
      </c>
      <c r="I90" s="38" t="s">
        <v>341</v>
      </c>
      <c r="J90" s="38">
        <v>1995</v>
      </c>
      <c r="K90" s="38" t="s">
        <v>113</v>
      </c>
      <c r="L90" s="50" t="s">
        <v>477</v>
      </c>
      <c r="M90" s="123"/>
      <c r="P90" s="182"/>
    </row>
    <row r="91" spans="1:16" s="31" customFormat="1" ht="17.399999999999999">
      <c r="A91" s="56">
        <v>13</v>
      </c>
      <c r="B91" s="54">
        <v>44886</v>
      </c>
      <c r="C91" s="81">
        <v>114</v>
      </c>
      <c r="D91" s="81">
        <v>1114</v>
      </c>
      <c r="E91" s="150">
        <v>1</v>
      </c>
      <c r="F91" s="32" t="s">
        <v>33</v>
      </c>
      <c r="G91" s="32">
        <v>1995</v>
      </c>
      <c r="H91" s="32" t="s">
        <v>13</v>
      </c>
      <c r="I91" s="131" t="s">
        <v>307</v>
      </c>
      <c r="J91" s="131">
        <v>1993</v>
      </c>
      <c r="K91" s="131" t="s">
        <v>127</v>
      </c>
      <c r="L91" s="50" t="s">
        <v>470</v>
      </c>
      <c r="M91" s="123" t="s">
        <v>461</v>
      </c>
      <c r="O91" s="182"/>
    </row>
    <row r="92" spans="1:16" s="31" customFormat="1" ht="17.399999999999999">
      <c r="A92" s="56"/>
      <c r="B92" s="54">
        <v>44886</v>
      </c>
      <c r="C92" s="81">
        <v>114</v>
      </c>
      <c r="D92" s="81">
        <v>1114</v>
      </c>
      <c r="E92" s="150">
        <v>2</v>
      </c>
      <c r="F92" s="38" t="s">
        <v>342</v>
      </c>
      <c r="G92" s="38">
        <v>1996</v>
      </c>
      <c r="H92" s="38" t="s">
        <v>113</v>
      </c>
      <c r="I92" s="131" t="s">
        <v>191</v>
      </c>
      <c r="J92" s="131">
        <v>1993</v>
      </c>
      <c r="K92" s="131" t="s">
        <v>13</v>
      </c>
      <c r="L92" s="50" t="s">
        <v>471</v>
      </c>
      <c r="M92" s="123" t="s">
        <v>461</v>
      </c>
    </row>
    <row r="93" spans="1:16" s="31" customFormat="1" ht="17.399999999999999">
      <c r="A93" s="56">
        <v>5</v>
      </c>
      <c r="B93" s="54">
        <v>44372</v>
      </c>
      <c r="C93" s="32">
        <v>114</v>
      </c>
      <c r="D93" s="32">
        <v>1114</v>
      </c>
      <c r="E93" s="150">
        <v>1</v>
      </c>
      <c r="F93" s="32" t="s">
        <v>135</v>
      </c>
      <c r="G93" s="32">
        <v>1998</v>
      </c>
      <c r="H93" s="32" t="s">
        <v>13</v>
      </c>
      <c r="I93" s="116" t="s">
        <v>33</v>
      </c>
      <c r="J93" s="116">
        <v>1995</v>
      </c>
      <c r="K93" s="116" t="s">
        <v>13</v>
      </c>
      <c r="L93" s="118" t="s">
        <v>180</v>
      </c>
      <c r="M93" s="122"/>
    </row>
    <row r="94" spans="1:16" s="31" customFormat="1" ht="18" thickBot="1">
      <c r="A94" s="57">
        <v>14</v>
      </c>
      <c r="B94" s="55">
        <v>44902</v>
      </c>
      <c r="C94" s="220">
        <v>115</v>
      </c>
      <c r="D94" s="220">
        <v>1515</v>
      </c>
      <c r="E94" s="153">
        <v>2</v>
      </c>
      <c r="F94" s="119" t="s">
        <v>292</v>
      </c>
      <c r="G94" s="119">
        <v>1973</v>
      </c>
      <c r="H94" s="119" t="s">
        <v>127</v>
      </c>
      <c r="I94" s="395" t="s">
        <v>311</v>
      </c>
      <c r="J94" s="395">
        <v>1995</v>
      </c>
      <c r="K94" s="395" t="s">
        <v>131</v>
      </c>
      <c r="L94" s="221" t="s">
        <v>472</v>
      </c>
      <c r="M94" s="126"/>
    </row>
    <row r="95" spans="1:16" s="31" customFormat="1" ht="17.399999999999999">
      <c r="A95" s="113">
        <v>31</v>
      </c>
      <c r="B95" s="114">
        <v>46059</v>
      </c>
      <c r="C95" s="116">
        <v>116</v>
      </c>
      <c r="D95" s="116">
        <v>1416</v>
      </c>
      <c r="E95" s="116">
        <v>3</v>
      </c>
      <c r="F95" s="116" t="s">
        <v>82</v>
      </c>
      <c r="G95" s="116">
        <v>1974</v>
      </c>
      <c r="H95" s="116" t="s">
        <v>15</v>
      </c>
      <c r="I95" s="116" t="s">
        <v>773</v>
      </c>
      <c r="J95" s="116">
        <v>1989</v>
      </c>
      <c r="K95" s="116" t="s">
        <v>18</v>
      </c>
      <c r="L95" s="232" t="s">
        <v>816</v>
      </c>
      <c r="M95" s="389"/>
    </row>
    <row r="96" spans="1:16" s="31" customFormat="1" ht="17.399999999999999">
      <c r="A96" s="56">
        <v>27</v>
      </c>
      <c r="B96" s="54">
        <v>45978</v>
      </c>
      <c r="C96" s="32">
        <v>116</v>
      </c>
      <c r="D96" s="32">
        <v>1216</v>
      </c>
      <c r="E96" s="32">
        <v>1</v>
      </c>
      <c r="F96" s="32" t="s">
        <v>815</v>
      </c>
      <c r="G96" s="32">
        <v>1996</v>
      </c>
      <c r="H96" s="32" t="s">
        <v>13</v>
      </c>
      <c r="I96" s="116">
        <v>64057</v>
      </c>
      <c r="J96" s="116">
        <v>1977</v>
      </c>
      <c r="K96" s="116" t="s">
        <v>40</v>
      </c>
      <c r="L96" s="232" t="s">
        <v>766</v>
      </c>
      <c r="M96" s="374"/>
    </row>
    <row r="97" spans="1:20" s="31" customFormat="1" ht="17.399999999999999">
      <c r="A97" s="56">
        <v>28</v>
      </c>
      <c r="B97" s="54">
        <v>45978</v>
      </c>
      <c r="C97" s="32">
        <v>116</v>
      </c>
      <c r="D97" s="32">
        <v>1216</v>
      </c>
      <c r="E97" s="32">
        <v>2</v>
      </c>
      <c r="F97" s="32" t="s">
        <v>74</v>
      </c>
      <c r="G97" s="32">
        <v>1988</v>
      </c>
      <c r="H97" s="32" t="s">
        <v>13</v>
      </c>
      <c r="I97" s="116" t="s">
        <v>14</v>
      </c>
      <c r="J97" s="116">
        <v>1974</v>
      </c>
      <c r="K97" s="116" t="s">
        <v>15</v>
      </c>
      <c r="L97" s="232" t="s">
        <v>766</v>
      </c>
      <c r="M97" s="374"/>
    </row>
    <row r="98" spans="1:20" s="31" customFormat="1" ht="17.399999999999999">
      <c r="A98" s="56">
        <v>29</v>
      </c>
      <c r="B98" s="54">
        <v>45978</v>
      </c>
      <c r="C98" s="32">
        <v>116</v>
      </c>
      <c r="D98" s="32">
        <v>1516</v>
      </c>
      <c r="E98" s="32">
        <v>1</v>
      </c>
      <c r="F98" s="32" t="s">
        <v>86</v>
      </c>
      <c r="G98" s="32">
        <v>1987</v>
      </c>
      <c r="H98" s="32" t="s">
        <v>13</v>
      </c>
      <c r="I98" s="116" t="s">
        <v>37</v>
      </c>
      <c r="J98" s="116">
        <v>1989</v>
      </c>
      <c r="K98" s="116" t="s">
        <v>13</v>
      </c>
      <c r="L98" s="232" t="s">
        <v>766</v>
      </c>
      <c r="M98" s="374"/>
    </row>
    <row r="99" spans="1:20" s="31" customFormat="1" ht="17.399999999999999">
      <c r="A99" s="56">
        <v>30</v>
      </c>
      <c r="B99" s="54">
        <v>45978</v>
      </c>
      <c r="C99" s="32">
        <v>116</v>
      </c>
      <c r="D99" s="32">
        <v>1716</v>
      </c>
      <c r="E99" s="32">
        <v>2</v>
      </c>
      <c r="F99" s="32" t="s">
        <v>179</v>
      </c>
      <c r="G99" s="32">
        <v>1989</v>
      </c>
      <c r="H99" s="32" t="s">
        <v>18</v>
      </c>
      <c r="I99" s="16" t="s">
        <v>68</v>
      </c>
      <c r="J99" s="16">
        <v>1973</v>
      </c>
      <c r="K99" s="16" t="s">
        <v>15</v>
      </c>
      <c r="L99" s="232" t="s">
        <v>766</v>
      </c>
      <c r="M99" s="374"/>
    </row>
    <row r="100" spans="1:20" s="31" customFormat="1" ht="17.399999999999999">
      <c r="A100" s="105">
        <v>25</v>
      </c>
      <c r="B100" s="106">
        <v>45825</v>
      </c>
      <c r="C100" s="107">
        <v>116</v>
      </c>
      <c r="D100" s="107">
        <v>1416</v>
      </c>
      <c r="E100" s="107">
        <v>1</v>
      </c>
      <c r="F100" s="107" t="s">
        <v>80</v>
      </c>
      <c r="G100" s="107">
        <v>1994</v>
      </c>
      <c r="H100" s="107" t="s">
        <v>13</v>
      </c>
      <c r="I100" s="116" t="s">
        <v>797</v>
      </c>
      <c r="J100" s="116">
        <v>1988</v>
      </c>
      <c r="K100" s="116" t="s">
        <v>809</v>
      </c>
      <c r="L100" s="116" t="s">
        <v>798</v>
      </c>
      <c r="M100" s="377"/>
    </row>
    <row r="101" spans="1:20" s="31" customFormat="1" ht="17.399999999999999">
      <c r="A101" s="105">
        <v>24</v>
      </c>
      <c r="B101" s="106">
        <v>45790</v>
      </c>
      <c r="C101" s="107">
        <v>116</v>
      </c>
      <c r="D101" s="107">
        <v>1216</v>
      </c>
      <c r="E101" s="107">
        <v>4</v>
      </c>
      <c r="F101" s="107" t="s">
        <v>796</v>
      </c>
      <c r="G101" s="107">
        <v>1991</v>
      </c>
      <c r="H101" s="107" t="s">
        <v>795</v>
      </c>
      <c r="I101" s="32" t="s">
        <v>794</v>
      </c>
      <c r="J101" s="32">
        <v>1989</v>
      </c>
      <c r="K101" s="116" t="s">
        <v>795</v>
      </c>
      <c r="L101" s="116" t="s">
        <v>793</v>
      </c>
      <c r="M101" s="377"/>
    </row>
    <row r="102" spans="1:20" s="31" customFormat="1" ht="17.399999999999999">
      <c r="A102" s="105">
        <v>23</v>
      </c>
      <c r="B102" s="106">
        <v>45786</v>
      </c>
      <c r="C102" s="107">
        <v>116</v>
      </c>
      <c r="D102" s="107">
        <v>1816</v>
      </c>
      <c r="E102" s="107">
        <v>2</v>
      </c>
      <c r="F102" s="107" t="s">
        <v>785</v>
      </c>
      <c r="G102" s="107">
        <v>1992</v>
      </c>
      <c r="H102" s="107" t="s">
        <v>786</v>
      </c>
      <c r="I102" s="32" t="s">
        <v>787</v>
      </c>
      <c r="J102" s="32">
        <v>1989</v>
      </c>
      <c r="K102" s="116" t="s">
        <v>788</v>
      </c>
      <c r="L102" s="116" t="s">
        <v>789</v>
      </c>
      <c r="M102" s="377"/>
    </row>
    <row r="103" spans="1:20" s="31" customFormat="1" ht="18" thickBot="1">
      <c r="A103" s="105">
        <v>22</v>
      </c>
      <c r="B103" s="106">
        <v>45721</v>
      </c>
      <c r="C103" s="107">
        <v>116</v>
      </c>
      <c r="D103" s="107">
        <v>1716</v>
      </c>
      <c r="E103" s="107">
        <v>4</v>
      </c>
      <c r="F103" s="107">
        <v>64057</v>
      </c>
      <c r="G103" s="107">
        <v>1977</v>
      </c>
      <c r="H103" s="107" t="s">
        <v>40</v>
      </c>
      <c r="I103" s="107" t="s">
        <v>78</v>
      </c>
      <c r="J103" s="107">
        <v>1988</v>
      </c>
      <c r="K103" s="380" t="s">
        <v>13</v>
      </c>
      <c r="L103" s="373" t="s">
        <v>470</v>
      </c>
      <c r="M103" s="382"/>
    </row>
    <row r="104" spans="1:20" ht="16.5" customHeight="1">
      <c r="A104" s="16">
        <v>13</v>
      </c>
      <c r="B104" s="295">
        <v>45472</v>
      </c>
      <c r="C104" s="16">
        <v>116</v>
      </c>
      <c r="D104" s="16">
        <v>1216</v>
      </c>
      <c r="E104" s="16">
        <v>3</v>
      </c>
      <c r="F104" s="16" t="s">
        <v>78</v>
      </c>
      <c r="G104" s="16">
        <v>1988</v>
      </c>
      <c r="H104" s="16" t="s">
        <v>13</v>
      </c>
      <c r="I104" s="16" t="s">
        <v>106</v>
      </c>
      <c r="J104" s="16">
        <v>1974</v>
      </c>
      <c r="K104" s="16" t="s">
        <v>756</v>
      </c>
      <c r="L104" s="296" t="s">
        <v>245</v>
      </c>
      <c r="M104" s="127"/>
      <c r="P104" s="26"/>
      <c r="Q104" s="26"/>
      <c r="R104" s="30"/>
    </row>
    <row r="105" spans="1:20" ht="16.5" customHeight="1">
      <c r="A105" s="297">
        <v>5</v>
      </c>
      <c r="B105" s="385">
        <v>45406</v>
      </c>
      <c r="C105" s="297">
        <v>116</v>
      </c>
      <c r="D105" s="297">
        <v>1216</v>
      </c>
      <c r="E105" s="297">
        <v>2</v>
      </c>
      <c r="F105" s="231" t="s">
        <v>769</v>
      </c>
      <c r="G105" s="231">
        <v>1974</v>
      </c>
      <c r="H105" s="231" t="s">
        <v>127</v>
      </c>
      <c r="I105" s="231" t="s">
        <v>74</v>
      </c>
      <c r="J105" s="231">
        <v>1988</v>
      </c>
      <c r="K105" s="231" t="s">
        <v>13</v>
      </c>
      <c r="L105" s="381" t="s">
        <v>744</v>
      </c>
      <c r="M105" s="401"/>
      <c r="P105" s="26"/>
      <c r="Q105" s="26"/>
      <c r="R105" s="30"/>
    </row>
    <row r="106" spans="1:20" ht="16.5" customHeight="1">
      <c r="A106" s="16">
        <v>17</v>
      </c>
      <c r="B106" s="295">
        <v>45195</v>
      </c>
      <c r="C106" s="297">
        <v>116</v>
      </c>
      <c r="D106" s="297">
        <v>1816</v>
      </c>
      <c r="E106" s="369">
        <v>3</v>
      </c>
      <c r="F106" s="26" t="s">
        <v>390</v>
      </c>
      <c r="G106" s="26">
        <v>1974</v>
      </c>
      <c r="H106" s="26" t="s">
        <v>127</v>
      </c>
      <c r="I106" s="94">
        <v>8833358</v>
      </c>
      <c r="J106" s="94">
        <v>1988</v>
      </c>
      <c r="K106" s="94" t="s">
        <v>129</v>
      </c>
      <c r="L106" s="296" t="s">
        <v>699</v>
      </c>
      <c r="M106" s="375" t="s">
        <v>636</v>
      </c>
      <c r="P106" s="26"/>
      <c r="Q106" s="26"/>
      <c r="R106" s="30"/>
    </row>
    <row r="107" spans="1:20" ht="16.5" customHeight="1">
      <c r="A107" s="16">
        <v>13</v>
      </c>
      <c r="B107" s="295">
        <v>45118</v>
      </c>
      <c r="C107" s="297">
        <v>116</v>
      </c>
      <c r="D107" s="297">
        <v>1216</v>
      </c>
      <c r="E107" s="369">
        <v>4</v>
      </c>
      <c r="F107" s="26" t="s">
        <v>330</v>
      </c>
      <c r="G107" s="26">
        <v>1989</v>
      </c>
      <c r="H107" s="26" t="s">
        <v>131</v>
      </c>
      <c r="I107" s="94" t="s">
        <v>163</v>
      </c>
      <c r="J107" s="94">
        <v>1991</v>
      </c>
      <c r="K107" s="94" t="s">
        <v>13</v>
      </c>
      <c r="L107" s="296" t="s">
        <v>628</v>
      </c>
      <c r="M107" s="375" t="s">
        <v>616</v>
      </c>
      <c r="P107" s="236"/>
      <c r="Q107" s="236"/>
      <c r="R107" s="236"/>
    </row>
    <row r="108" spans="1:20" ht="16.5" customHeight="1">
      <c r="A108" s="16">
        <v>10</v>
      </c>
      <c r="B108" s="295">
        <v>45077</v>
      </c>
      <c r="C108" s="297">
        <v>116</v>
      </c>
      <c r="D108" s="297">
        <v>1416</v>
      </c>
      <c r="E108" s="369">
        <v>2</v>
      </c>
      <c r="F108" s="26" t="s">
        <v>608</v>
      </c>
      <c r="G108" s="26">
        <v>1992</v>
      </c>
      <c r="H108" s="26" t="s">
        <v>113</v>
      </c>
      <c r="I108" s="94" t="s">
        <v>45</v>
      </c>
      <c r="J108" s="94">
        <v>1987</v>
      </c>
      <c r="K108" s="94" t="s">
        <v>13</v>
      </c>
      <c r="L108" s="296" t="s">
        <v>584</v>
      </c>
      <c r="M108" s="375"/>
    </row>
    <row r="109" spans="1:20" ht="16.5" customHeight="1">
      <c r="A109" s="16">
        <v>8</v>
      </c>
      <c r="B109" s="295">
        <v>45035</v>
      </c>
      <c r="C109" s="297">
        <v>116</v>
      </c>
      <c r="D109" s="297">
        <v>1516</v>
      </c>
      <c r="E109" s="369">
        <v>2</v>
      </c>
      <c r="F109" s="26">
        <v>64052</v>
      </c>
      <c r="G109" s="26">
        <v>1977</v>
      </c>
      <c r="H109" s="26" t="s">
        <v>40</v>
      </c>
      <c r="I109" s="137" t="s">
        <v>275</v>
      </c>
      <c r="J109" s="137">
        <v>1998</v>
      </c>
      <c r="K109" s="137" t="s">
        <v>113</v>
      </c>
      <c r="L109" s="296" t="s">
        <v>628</v>
      </c>
      <c r="M109" s="375" t="s">
        <v>631</v>
      </c>
    </row>
    <row r="110" spans="1:20" ht="15.75" customHeight="1">
      <c r="A110" s="16">
        <v>4</v>
      </c>
      <c r="B110" s="295">
        <v>44978</v>
      </c>
      <c r="C110" s="297">
        <v>116</v>
      </c>
      <c r="D110" s="297">
        <v>1116</v>
      </c>
      <c r="E110" s="369">
        <v>3</v>
      </c>
      <c r="F110" s="26" t="s">
        <v>511</v>
      </c>
      <c r="G110" s="26">
        <v>1989</v>
      </c>
      <c r="H110" s="26" t="s">
        <v>131</v>
      </c>
      <c r="I110" s="26" t="s">
        <v>512</v>
      </c>
      <c r="J110" s="26">
        <v>1973</v>
      </c>
      <c r="K110" s="26" t="s">
        <v>15</v>
      </c>
      <c r="L110" s="296" t="s">
        <v>628</v>
      </c>
      <c r="M110" s="375" t="s">
        <v>513</v>
      </c>
    </row>
    <row r="111" spans="1:20" ht="16.5" customHeight="1">
      <c r="A111" s="16">
        <v>16</v>
      </c>
      <c r="B111" s="295">
        <v>44926</v>
      </c>
      <c r="C111" s="16">
        <v>116</v>
      </c>
      <c r="D111" s="16">
        <v>1416</v>
      </c>
      <c r="E111" s="369">
        <v>2</v>
      </c>
      <c r="F111" s="26" t="s">
        <v>141</v>
      </c>
      <c r="G111" s="26">
        <v>1977</v>
      </c>
      <c r="H111" s="26" t="s">
        <v>15</v>
      </c>
      <c r="I111" s="16" t="s">
        <v>441</v>
      </c>
      <c r="J111" s="16">
        <v>1992</v>
      </c>
      <c r="K111" s="26" t="s">
        <v>113</v>
      </c>
      <c r="L111" s="296" t="s">
        <v>478</v>
      </c>
      <c r="M111" s="375"/>
      <c r="R111" s="236"/>
      <c r="S111" s="236"/>
      <c r="T111" s="236"/>
    </row>
    <row r="112" spans="1:20" ht="16.5" customHeight="1">
      <c r="A112" s="391">
        <v>11</v>
      </c>
      <c r="B112" s="392">
        <v>44814</v>
      </c>
      <c r="C112" s="391">
        <v>116</v>
      </c>
      <c r="D112" s="391">
        <v>1816</v>
      </c>
      <c r="E112" s="393">
        <v>4</v>
      </c>
      <c r="F112" s="394">
        <v>59812</v>
      </c>
      <c r="G112" s="394">
        <v>1974</v>
      </c>
      <c r="H112" s="394" t="s">
        <v>177</v>
      </c>
      <c r="I112" s="94" t="s">
        <v>306</v>
      </c>
      <c r="J112" s="94">
        <v>1991</v>
      </c>
      <c r="K112" s="94" t="s">
        <v>131</v>
      </c>
      <c r="L112" s="398" t="s">
        <v>444</v>
      </c>
      <c r="M112" s="375" t="s">
        <v>491</v>
      </c>
      <c r="R112" s="236"/>
      <c r="S112" s="236"/>
      <c r="T112" s="236"/>
    </row>
    <row r="113" spans="1:20" ht="16.5" customHeight="1">
      <c r="A113" s="16">
        <v>4</v>
      </c>
      <c r="B113" s="295">
        <v>44631</v>
      </c>
      <c r="C113" s="16">
        <v>116</v>
      </c>
      <c r="D113" s="16">
        <v>1116</v>
      </c>
      <c r="E113" s="369">
        <v>1</v>
      </c>
      <c r="F113" s="26" t="s">
        <v>205</v>
      </c>
      <c r="G113" s="26">
        <v>1974</v>
      </c>
      <c r="H113" s="26" t="s">
        <v>127</v>
      </c>
      <c r="I113" s="26" t="s">
        <v>216</v>
      </c>
      <c r="J113" s="26">
        <v>1988</v>
      </c>
      <c r="K113" s="26" t="s">
        <v>113</v>
      </c>
      <c r="L113" s="296" t="s">
        <v>431</v>
      </c>
      <c r="M113" s="375" t="s">
        <v>256</v>
      </c>
      <c r="R113" s="236"/>
      <c r="S113" s="236"/>
      <c r="T113" s="236"/>
    </row>
    <row r="114" spans="1:20" ht="16.5" customHeight="1">
      <c r="A114" s="16"/>
      <c r="B114" s="295">
        <v>44631</v>
      </c>
      <c r="C114" s="16">
        <v>116</v>
      </c>
      <c r="D114" s="16">
        <v>1116</v>
      </c>
      <c r="E114" s="369">
        <v>2</v>
      </c>
      <c r="F114" s="26" t="s">
        <v>206</v>
      </c>
      <c r="G114" s="26">
        <v>1989</v>
      </c>
      <c r="H114" s="26" t="s">
        <v>131</v>
      </c>
      <c r="I114" s="26" t="s">
        <v>217</v>
      </c>
      <c r="J114" s="26">
        <v>1996</v>
      </c>
      <c r="K114" s="26" t="s">
        <v>113</v>
      </c>
      <c r="L114" s="296" t="s">
        <v>218</v>
      </c>
      <c r="M114" s="375" t="s">
        <v>215</v>
      </c>
      <c r="R114" s="236"/>
      <c r="S114" s="236"/>
      <c r="T114" s="236"/>
    </row>
    <row r="115" spans="1:20" ht="16.5" customHeight="1">
      <c r="A115" s="16">
        <v>3</v>
      </c>
      <c r="B115" s="295">
        <v>44630</v>
      </c>
      <c r="C115" s="16">
        <v>116</v>
      </c>
      <c r="D115" s="16">
        <v>1116</v>
      </c>
      <c r="E115" s="369">
        <v>1</v>
      </c>
      <c r="F115" s="26" t="s">
        <v>258</v>
      </c>
      <c r="G115" s="26">
        <v>1989</v>
      </c>
      <c r="H115" s="26" t="s">
        <v>131</v>
      </c>
      <c r="I115" s="26" t="s">
        <v>205</v>
      </c>
      <c r="J115" s="26">
        <v>1974</v>
      </c>
      <c r="K115" s="26" t="s">
        <v>127</v>
      </c>
      <c r="L115" s="296" t="s">
        <v>209</v>
      </c>
      <c r="M115" s="375"/>
    </row>
    <row r="116" spans="1:20" ht="16.5" customHeight="1">
      <c r="A116" s="16"/>
      <c r="B116" s="295">
        <v>44630</v>
      </c>
      <c r="C116" s="16">
        <v>116</v>
      </c>
      <c r="D116" s="16">
        <v>1116</v>
      </c>
      <c r="E116" s="369">
        <v>2</v>
      </c>
      <c r="F116" s="26" t="s">
        <v>176</v>
      </c>
      <c r="G116" s="26">
        <v>1974</v>
      </c>
      <c r="H116" s="26" t="s">
        <v>127</v>
      </c>
      <c r="I116" s="26" t="s">
        <v>206</v>
      </c>
      <c r="J116" s="26">
        <v>1989</v>
      </c>
      <c r="K116" s="26" t="s">
        <v>131</v>
      </c>
      <c r="L116" s="296" t="s">
        <v>209</v>
      </c>
      <c r="M116" s="375"/>
    </row>
    <row r="117" spans="1:20" ht="16.5" customHeight="1">
      <c r="A117" s="16">
        <v>10</v>
      </c>
      <c r="B117" s="295">
        <v>44471</v>
      </c>
      <c r="C117" s="16">
        <v>116</v>
      </c>
      <c r="D117" s="16">
        <v>1716</v>
      </c>
      <c r="E117" s="369">
        <v>4</v>
      </c>
      <c r="F117" s="26" t="s">
        <v>135</v>
      </c>
      <c r="G117" s="26">
        <v>1998</v>
      </c>
      <c r="H117" s="26" t="s">
        <v>113</v>
      </c>
      <c r="I117" s="16">
        <v>64057</v>
      </c>
      <c r="J117" s="16">
        <v>1977</v>
      </c>
      <c r="K117" s="26" t="s">
        <v>177</v>
      </c>
      <c r="L117" s="296" t="s">
        <v>254</v>
      </c>
      <c r="M117" s="376"/>
    </row>
    <row r="118" spans="1:20" ht="16.5" customHeight="1">
      <c r="A118" s="16"/>
      <c r="B118" s="295">
        <v>44400</v>
      </c>
      <c r="C118" s="16">
        <v>116</v>
      </c>
      <c r="D118" s="16">
        <v>1716</v>
      </c>
      <c r="E118" s="16">
        <v>1</v>
      </c>
      <c r="F118" s="37" t="s">
        <v>168</v>
      </c>
      <c r="G118" s="37" t="s">
        <v>168</v>
      </c>
      <c r="H118" s="37" t="s">
        <v>168</v>
      </c>
      <c r="I118" s="16">
        <v>7432512</v>
      </c>
      <c r="J118" s="16">
        <v>1974</v>
      </c>
      <c r="K118" s="16" t="s">
        <v>129</v>
      </c>
      <c r="L118" s="296"/>
      <c r="M118" s="376"/>
    </row>
    <row r="119" spans="1:20" ht="16.5" customHeight="1">
      <c r="A119" s="16"/>
      <c r="B119" s="295">
        <v>44400</v>
      </c>
      <c r="C119" s="16">
        <v>116</v>
      </c>
      <c r="D119" s="16">
        <v>1716</v>
      </c>
      <c r="E119" s="16">
        <v>2</v>
      </c>
      <c r="F119" s="37" t="s">
        <v>168</v>
      </c>
      <c r="G119" s="37" t="s">
        <v>168</v>
      </c>
      <c r="H119" s="37" t="s">
        <v>168</v>
      </c>
      <c r="I119" s="16" t="s">
        <v>265</v>
      </c>
      <c r="J119" s="16">
        <v>1989</v>
      </c>
      <c r="K119" s="16" t="s">
        <v>131</v>
      </c>
      <c r="L119" s="296"/>
      <c r="M119" s="376"/>
    </row>
    <row r="120" spans="1:20" ht="16.5" customHeight="1">
      <c r="A120" s="16"/>
      <c r="B120" s="295">
        <v>44400</v>
      </c>
      <c r="C120" s="16">
        <v>116</v>
      </c>
      <c r="D120" s="16">
        <v>1716</v>
      </c>
      <c r="E120" s="16">
        <v>3</v>
      </c>
      <c r="F120" s="37" t="s">
        <v>168</v>
      </c>
      <c r="G120" s="37" t="s">
        <v>168</v>
      </c>
      <c r="H120" s="37" t="s">
        <v>168</v>
      </c>
      <c r="I120" s="16" t="s">
        <v>264</v>
      </c>
      <c r="J120" s="16">
        <v>1988</v>
      </c>
      <c r="K120" s="16" t="s">
        <v>113</v>
      </c>
      <c r="L120" s="296"/>
      <c r="M120" s="376"/>
    </row>
    <row r="121" spans="1:20" ht="16.5" customHeight="1">
      <c r="A121" s="16"/>
      <c r="B121" s="295">
        <v>44400</v>
      </c>
      <c r="C121" s="16">
        <v>116</v>
      </c>
      <c r="D121" s="16">
        <v>1716</v>
      </c>
      <c r="E121" s="16">
        <v>4</v>
      </c>
      <c r="F121" s="37" t="s">
        <v>168</v>
      </c>
      <c r="G121" s="37" t="s">
        <v>168</v>
      </c>
      <c r="H121" s="37" t="s">
        <v>168</v>
      </c>
      <c r="I121" s="26" t="s">
        <v>207</v>
      </c>
      <c r="J121" s="26">
        <v>1998</v>
      </c>
      <c r="K121" s="26" t="s">
        <v>113</v>
      </c>
      <c r="L121" s="296"/>
      <c r="M121" s="376"/>
    </row>
    <row r="122" spans="1:20" ht="16.5" customHeight="1">
      <c r="A122" s="16">
        <v>7</v>
      </c>
      <c r="B122" s="295">
        <v>44382</v>
      </c>
      <c r="C122" s="16">
        <v>116</v>
      </c>
      <c r="D122" s="16">
        <v>1716</v>
      </c>
      <c r="E122" s="369">
        <v>1</v>
      </c>
      <c r="F122" s="16" t="s">
        <v>178</v>
      </c>
      <c r="G122" s="16">
        <v>1989</v>
      </c>
      <c r="H122" s="16" t="s">
        <v>113</v>
      </c>
      <c r="I122" s="16" t="s">
        <v>138</v>
      </c>
      <c r="J122" s="16">
        <v>1974</v>
      </c>
      <c r="K122" s="16" t="s">
        <v>127</v>
      </c>
      <c r="L122" s="296" t="s">
        <v>198</v>
      </c>
      <c r="M122" s="375" t="s">
        <v>238</v>
      </c>
    </row>
    <row r="123" spans="1:20" ht="16.5" customHeight="1">
      <c r="A123" s="16"/>
      <c r="B123" s="295">
        <v>44382</v>
      </c>
      <c r="C123" s="16">
        <v>116</v>
      </c>
      <c r="D123" s="16">
        <v>1716</v>
      </c>
      <c r="E123" s="369">
        <v>2</v>
      </c>
      <c r="F123" s="16">
        <v>7432512</v>
      </c>
      <c r="G123" s="16">
        <v>1974</v>
      </c>
      <c r="H123" s="16" t="s">
        <v>129</v>
      </c>
      <c r="I123" s="16" t="s">
        <v>136</v>
      </c>
      <c r="J123" s="16">
        <v>1988</v>
      </c>
      <c r="K123" s="16" t="s">
        <v>113</v>
      </c>
      <c r="L123" s="118" t="s">
        <v>180</v>
      </c>
      <c r="M123" s="376"/>
    </row>
    <row r="124" spans="1:20" ht="16.5" customHeight="1">
      <c r="A124" s="16"/>
      <c r="B124" s="295">
        <v>44382</v>
      </c>
      <c r="C124" s="16">
        <v>116</v>
      </c>
      <c r="D124" s="16">
        <v>1716</v>
      </c>
      <c r="E124" s="369">
        <v>3</v>
      </c>
      <c r="F124" s="16" t="s">
        <v>179</v>
      </c>
      <c r="G124" s="16">
        <v>1989</v>
      </c>
      <c r="H124" s="16" t="s">
        <v>131</v>
      </c>
      <c r="I124" s="16" t="s">
        <v>144</v>
      </c>
      <c r="J124" s="16">
        <v>1988</v>
      </c>
      <c r="K124" s="16" t="s">
        <v>113</v>
      </c>
      <c r="L124" s="118" t="s">
        <v>180</v>
      </c>
      <c r="M124" s="376"/>
    </row>
    <row r="125" spans="1:20" ht="16.5" customHeight="1">
      <c r="A125" s="16"/>
      <c r="B125" s="295">
        <v>44382</v>
      </c>
      <c r="C125" s="16">
        <v>116</v>
      </c>
      <c r="D125" s="16">
        <v>1716</v>
      </c>
      <c r="E125" s="369">
        <v>4</v>
      </c>
      <c r="F125" s="16" t="s">
        <v>249</v>
      </c>
      <c r="G125" s="16">
        <v>1988</v>
      </c>
      <c r="H125" s="16" t="s">
        <v>113</v>
      </c>
      <c r="I125" s="26" t="s">
        <v>185</v>
      </c>
      <c r="J125" s="26">
        <v>1998</v>
      </c>
      <c r="K125" s="26" t="s">
        <v>113</v>
      </c>
      <c r="L125" s="118"/>
      <c r="M125" s="376"/>
    </row>
    <row r="126" spans="1:20" ht="16.5" customHeight="1">
      <c r="A126" s="16" t="s">
        <v>473</v>
      </c>
      <c r="B126" s="295">
        <v>44351</v>
      </c>
      <c r="C126" s="16">
        <v>116</v>
      </c>
      <c r="D126" s="16">
        <v>1216</v>
      </c>
      <c r="E126" s="16">
        <v>1</v>
      </c>
      <c r="F126" s="16" t="s">
        <v>137</v>
      </c>
      <c r="G126" s="26">
        <v>1988</v>
      </c>
      <c r="H126" s="26" t="s">
        <v>113</v>
      </c>
      <c r="I126" s="16">
        <v>7733026</v>
      </c>
      <c r="J126" s="16">
        <v>1977</v>
      </c>
      <c r="K126" s="16" t="s">
        <v>129</v>
      </c>
      <c r="L126" s="118" t="s">
        <v>151</v>
      </c>
      <c r="M126" s="376"/>
    </row>
    <row r="127" spans="1:20" ht="15.75" customHeight="1">
      <c r="A127" s="16" t="s">
        <v>473</v>
      </c>
      <c r="B127" s="295">
        <v>44351</v>
      </c>
      <c r="C127" s="16">
        <v>116</v>
      </c>
      <c r="D127" s="16">
        <v>1216</v>
      </c>
      <c r="E127" s="16">
        <v>2</v>
      </c>
      <c r="F127" s="16" t="s">
        <v>139</v>
      </c>
      <c r="G127" s="16">
        <v>1974</v>
      </c>
      <c r="H127" s="16" t="s">
        <v>127</v>
      </c>
      <c r="I127" s="16" t="s">
        <v>140</v>
      </c>
      <c r="J127" s="16">
        <v>1973</v>
      </c>
      <c r="K127" s="16" t="s">
        <v>127</v>
      </c>
      <c r="L127" s="118" t="s">
        <v>151</v>
      </c>
      <c r="M127" s="376"/>
    </row>
    <row r="128" spans="1:20" ht="15.75" customHeight="1">
      <c r="A128" s="277" t="s">
        <v>475</v>
      </c>
      <c r="B128" s="295">
        <v>44697</v>
      </c>
      <c r="C128" s="16">
        <v>264</v>
      </c>
      <c r="D128" s="16">
        <v>2764</v>
      </c>
      <c r="E128" s="16">
        <v>2</v>
      </c>
      <c r="F128" s="26" t="s">
        <v>270</v>
      </c>
      <c r="G128" s="26">
        <v>2008</v>
      </c>
      <c r="H128" s="26" t="s">
        <v>271</v>
      </c>
      <c r="I128" s="26" t="s">
        <v>272</v>
      </c>
      <c r="J128" s="26">
        <v>2008</v>
      </c>
      <c r="K128" s="26" t="s">
        <v>271</v>
      </c>
      <c r="L128" s="296" t="s">
        <v>248</v>
      </c>
      <c r="M128" s="375"/>
    </row>
    <row r="129" spans="1:13" ht="15.75" customHeight="1">
      <c r="A129" s="277" t="s">
        <v>474</v>
      </c>
      <c r="B129" s="295">
        <v>44656</v>
      </c>
      <c r="C129" s="16">
        <v>269</v>
      </c>
      <c r="D129" s="16">
        <v>2869</v>
      </c>
      <c r="E129" s="16">
        <v>2</v>
      </c>
      <c r="F129" s="26" t="s">
        <v>232</v>
      </c>
      <c r="G129" s="26">
        <v>2008</v>
      </c>
      <c r="H129" s="26" t="s">
        <v>233</v>
      </c>
      <c r="I129" s="26" t="s">
        <v>235</v>
      </c>
      <c r="J129" s="26">
        <v>2008</v>
      </c>
      <c r="K129" s="26" t="s">
        <v>233</v>
      </c>
      <c r="L129" s="296" t="s">
        <v>234</v>
      </c>
      <c r="M129" s="375" t="s">
        <v>244</v>
      </c>
    </row>
    <row r="130" spans="1:13" ht="15.75" customHeight="1">
      <c r="A130" s="16">
        <v>19</v>
      </c>
      <c r="B130" s="295">
        <v>45278</v>
      </c>
      <c r="C130" s="297">
        <v>271</v>
      </c>
      <c r="D130" s="297">
        <v>2871</v>
      </c>
      <c r="E130" s="16">
        <v>4</v>
      </c>
      <c r="F130" s="26" t="s">
        <v>707</v>
      </c>
      <c r="G130" s="26">
        <v>2008</v>
      </c>
      <c r="H130" s="26" t="s">
        <v>706</v>
      </c>
      <c r="I130" s="26" t="s">
        <v>705</v>
      </c>
      <c r="J130" s="26">
        <v>2008</v>
      </c>
      <c r="K130" s="26" t="s">
        <v>706</v>
      </c>
      <c r="L130" s="296" t="s">
        <v>704</v>
      </c>
      <c r="M130" s="375"/>
    </row>
    <row r="131" spans="1:13" ht="15.75" customHeight="1">
      <c r="A131" s="16" t="s">
        <v>735</v>
      </c>
      <c r="B131" s="295">
        <v>45105</v>
      </c>
      <c r="C131" s="297">
        <v>282</v>
      </c>
      <c r="D131" s="297">
        <v>2282</v>
      </c>
      <c r="E131" s="369">
        <v>2</v>
      </c>
      <c r="F131" s="26" t="s">
        <v>733</v>
      </c>
      <c r="G131" s="26">
        <v>2023</v>
      </c>
      <c r="H131" s="26" t="s">
        <v>734</v>
      </c>
      <c r="I131" s="26" t="s">
        <v>737</v>
      </c>
      <c r="J131" s="26">
        <v>2020</v>
      </c>
      <c r="K131" s="26" t="s">
        <v>734</v>
      </c>
      <c r="L131" s="296" t="s">
        <v>736</v>
      </c>
      <c r="M131" s="375"/>
    </row>
    <row r="132" spans="1:13" ht="16.5" customHeight="1">
      <c r="A132" s="58"/>
      <c r="M132" s="127"/>
    </row>
    <row r="133" spans="1:13" ht="16.5" customHeight="1">
      <c r="A133" s="58"/>
      <c r="M133" s="127"/>
    </row>
    <row r="134" spans="1:13" ht="16.5" customHeight="1">
      <c r="A134" s="58"/>
      <c r="M134" s="127"/>
    </row>
    <row r="135" spans="1:13" ht="16.5" customHeight="1">
      <c r="A135" s="58"/>
      <c r="M135" s="127"/>
    </row>
    <row r="136" spans="1:13" ht="16.5" customHeight="1">
      <c r="A136" s="58"/>
      <c r="M136" s="127"/>
    </row>
    <row r="137" spans="1:13" ht="16.5" customHeight="1">
      <c r="A137" s="58"/>
      <c r="M137" s="127"/>
    </row>
    <row r="138" spans="1:13" ht="16.5" customHeight="1">
      <c r="A138" s="58"/>
      <c r="M138" s="127"/>
    </row>
    <row r="139" spans="1:13" ht="16.5" customHeight="1">
      <c r="A139" s="58"/>
      <c r="M139" s="127"/>
    </row>
    <row r="140" spans="1:13" ht="16.5" customHeight="1">
      <c r="A140" s="58"/>
      <c r="M140" s="127"/>
    </row>
    <row r="141" spans="1:13" ht="16.5" customHeight="1">
      <c r="A141" s="58"/>
      <c r="M141" s="127"/>
    </row>
    <row r="142" spans="1:13" ht="16.5" customHeight="1">
      <c r="A142" s="58"/>
      <c r="M142" s="127"/>
    </row>
    <row r="143" spans="1:13" ht="16.5" customHeight="1">
      <c r="A143" s="59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51"/>
      <c r="M143" s="128"/>
    </row>
  </sheetData>
  <autoFilter ref="A3:M131" xr:uid="{00000000-0009-0000-0000-000003000000}">
    <filterColumn colId="5" showButton="0"/>
    <filterColumn colId="6" showButton="0"/>
    <filterColumn colId="8" showButton="0"/>
    <filterColumn colId="9" showButton="0"/>
    <sortState xmlns:xlrd2="http://schemas.microsoft.com/office/spreadsheetml/2017/richdata2" ref="A4:M131">
      <sortCondition ref="C3:C131"/>
    </sortState>
  </autoFilter>
  <mergeCells count="3">
    <mergeCell ref="A1:M1"/>
    <mergeCell ref="F3:H3"/>
    <mergeCell ref="I3:K3"/>
  </mergeCells>
  <phoneticPr fontId="1" type="noConversion"/>
  <pageMargins left="0.25" right="0.25" top="0.75" bottom="0.75" header="0.3" footer="0.3"/>
  <pageSetup paperSize="8" scale="7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24"/>
  <sheetViews>
    <sheetView workbookViewId="0">
      <selection activeCell="P15" sqref="P15:R15"/>
    </sheetView>
  </sheetViews>
  <sheetFormatPr defaultRowHeight="17.399999999999999"/>
  <cols>
    <col min="2" max="2" width="5.69921875" bestFit="1" customWidth="1"/>
    <col min="4" max="4" width="11.8984375" bestFit="1" customWidth="1"/>
    <col min="6" max="6" width="11" bestFit="1" customWidth="1"/>
    <col min="13" max="13" width="15.69921875" customWidth="1"/>
    <col min="14" max="14" width="12" customWidth="1"/>
    <col min="15" max="15" width="12.09765625" customWidth="1"/>
  </cols>
  <sheetData>
    <row r="2" spans="2:18" ht="18" thickBot="1"/>
    <row r="3" spans="2:18" ht="19.2">
      <c r="B3" s="223" t="s">
        <v>7</v>
      </c>
      <c r="C3" s="223" t="s">
        <v>747</v>
      </c>
      <c r="D3" s="224" t="s">
        <v>8</v>
      </c>
      <c r="E3" s="224" t="s">
        <v>9</v>
      </c>
      <c r="F3" s="224" t="s">
        <v>10</v>
      </c>
      <c r="G3" s="331" t="s">
        <v>202</v>
      </c>
      <c r="H3" s="331"/>
      <c r="I3" s="332"/>
      <c r="K3" s="223" t="s">
        <v>7</v>
      </c>
      <c r="L3" s="223" t="s">
        <v>747</v>
      </c>
      <c r="M3" s="224" t="s">
        <v>8</v>
      </c>
      <c r="N3" s="224" t="s">
        <v>9</v>
      </c>
      <c r="O3" s="224" t="s">
        <v>10</v>
      </c>
      <c r="P3" s="331" t="s">
        <v>202</v>
      </c>
      <c r="Q3" s="331"/>
      <c r="R3" s="332"/>
    </row>
    <row r="4" spans="2:18" ht="19.2">
      <c r="B4" s="227">
        <v>1</v>
      </c>
      <c r="C4" s="225" t="s">
        <v>748</v>
      </c>
      <c r="D4" s="226" t="s">
        <v>749</v>
      </c>
      <c r="E4" s="225">
        <v>1974</v>
      </c>
      <c r="F4" s="225" t="s">
        <v>15</v>
      </c>
      <c r="G4" s="333"/>
      <c r="H4" s="334"/>
      <c r="I4" s="335"/>
      <c r="K4" s="227">
        <v>1</v>
      </c>
      <c r="L4" s="225" t="s">
        <v>799</v>
      </c>
      <c r="M4" s="272" t="s">
        <v>811</v>
      </c>
      <c r="N4" s="16">
        <v>1996</v>
      </c>
      <c r="O4" s="16" t="s">
        <v>13</v>
      </c>
      <c r="P4" s="325" t="s">
        <v>812</v>
      </c>
      <c r="Q4" s="326"/>
      <c r="R4" s="327"/>
    </row>
    <row r="5" spans="2:18">
      <c r="B5" s="227">
        <v>2</v>
      </c>
      <c r="C5" s="225" t="s">
        <v>748</v>
      </c>
      <c r="D5" s="226" t="s">
        <v>778</v>
      </c>
      <c r="E5" s="225">
        <v>1992</v>
      </c>
      <c r="F5" s="225" t="s">
        <v>13</v>
      </c>
      <c r="G5" s="333"/>
      <c r="H5" s="334"/>
      <c r="I5" s="335"/>
      <c r="K5" s="227">
        <v>2</v>
      </c>
      <c r="L5" s="225" t="s">
        <v>799</v>
      </c>
      <c r="M5" s="272" t="s">
        <v>800</v>
      </c>
      <c r="N5" s="16">
        <v>1989</v>
      </c>
      <c r="O5" s="16" t="s">
        <v>18</v>
      </c>
      <c r="P5" s="325" t="s">
        <v>812</v>
      </c>
      <c r="Q5" s="326"/>
      <c r="R5" s="327"/>
    </row>
    <row r="6" spans="2:18">
      <c r="B6" s="227">
        <v>3</v>
      </c>
      <c r="C6" s="225" t="s">
        <v>748</v>
      </c>
      <c r="D6" s="226" t="s">
        <v>340</v>
      </c>
      <c r="E6" s="225">
        <v>1994</v>
      </c>
      <c r="F6" s="225" t="s">
        <v>13</v>
      </c>
      <c r="G6" s="333"/>
      <c r="H6" s="334"/>
      <c r="I6" s="335"/>
      <c r="K6" s="227">
        <v>3</v>
      </c>
      <c r="L6" s="225" t="s">
        <v>799</v>
      </c>
      <c r="M6" s="272" t="s">
        <v>801</v>
      </c>
      <c r="N6" s="16">
        <v>1989</v>
      </c>
      <c r="O6" s="16" t="s">
        <v>18</v>
      </c>
      <c r="P6" s="325" t="s">
        <v>812</v>
      </c>
      <c r="Q6" s="326"/>
      <c r="R6" s="327"/>
    </row>
    <row r="7" spans="2:18">
      <c r="B7" s="227">
        <v>4</v>
      </c>
      <c r="C7" s="225" t="s">
        <v>748</v>
      </c>
      <c r="D7" s="226" t="s">
        <v>182</v>
      </c>
      <c r="E7" s="225">
        <v>1989</v>
      </c>
      <c r="F7" s="225" t="s">
        <v>18</v>
      </c>
      <c r="G7" s="333"/>
      <c r="H7" s="334"/>
      <c r="I7" s="335"/>
      <c r="K7" s="227">
        <v>4</v>
      </c>
      <c r="L7" s="225" t="s">
        <v>799</v>
      </c>
      <c r="M7" s="272" t="s">
        <v>802</v>
      </c>
      <c r="N7" s="16">
        <v>1989</v>
      </c>
      <c r="O7" s="16" t="s">
        <v>803</v>
      </c>
      <c r="P7" s="325" t="s">
        <v>812</v>
      </c>
      <c r="Q7" s="326"/>
      <c r="R7" s="327"/>
    </row>
    <row r="8" spans="2:18">
      <c r="B8" s="227">
        <v>5</v>
      </c>
      <c r="C8" s="225" t="s">
        <v>748</v>
      </c>
      <c r="D8" s="226" t="s">
        <v>750</v>
      </c>
      <c r="E8" s="225">
        <v>1994</v>
      </c>
      <c r="F8" s="225" t="s">
        <v>13</v>
      </c>
      <c r="G8" s="325"/>
      <c r="H8" s="326"/>
      <c r="I8" s="327"/>
      <c r="K8" s="227">
        <v>5</v>
      </c>
      <c r="L8" s="225" t="s">
        <v>799</v>
      </c>
      <c r="M8" s="272" t="s">
        <v>804</v>
      </c>
      <c r="N8" s="226">
        <v>1974</v>
      </c>
      <c r="O8" s="226" t="s">
        <v>15</v>
      </c>
      <c r="P8" s="325" t="s">
        <v>812</v>
      </c>
      <c r="Q8" s="326"/>
      <c r="R8" s="327"/>
    </row>
    <row r="9" spans="2:18">
      <c r="B9" s="227">
        <v>6</v>
      </c>
      <c r="C9" s="225" t="s">
        <v>748</v>
      </c>
      <c r="D9" s="226" t="s">
        <v>105</v>
      </c>
      <c r="E9" s="225">
        <v>1974</v>
      </c>
      <c r="F9" s="225" t="s">
        <v>15</v>
      </c>
      <c r="G9" s="325" t="s">
        <v>165</v>
      </c>
      <c r="H9" s="326"/>
      <c r="I9" s="327"/>
      <c r="K9" s="227">
        <v>6</v>
      </c>
      <c r="L9" s="225" t="s">
        <v>799</v>
      </c>
      <c r="M9" s="272" t="s">
        <v>20</v>
      </c>
      <c r="N9" s="226">
        <v>1988</v>
      </c>
      <c r="O9" s="226" t="s">
        <v>13</v>
      </c>
      <c r="P9" s="325" t="s">
        <v>812</v>
      </c>
      <c r="Q9" s="326"/>
      <c r="R9" s="327"/>
    </row>
    <row r="10" spans="2:18">
      <c r="B10" s="227">
        <v>7</v>
      </c>
      <c r="C10" s="225" t="s">
        <v>748</v>
      </c>
      <c r="D10" s="226" t="s">
        <v>106</v>
      </c>
      <c r="E10" s="225">
        <v>1974</v>
      </c>
      <c r="F10" s="225" t="s">
        <v>15</v>
      </c>
      <c r="G10" s="325" t="s">
        <v>165</v>
      </c>
      <c r="H10" s="326"/>
      <c r="I10" s="327"/>
      <c r="K10" s="227">
        <v>7</v>
      </c>
      <c r="L10" s="225" t="s">
        <v>799</v>
      </c>
      <c r="M10" s="272" t="s">
        <v>163</v>
      </c>
      <c r="N10" s="226">
        <v>1991</v>
      </c>
      <c r="O10" s="226" t="s">
        <v>13</v>
      </c>
      <c r="P10" s="325" t="s">
        <v>812</v>
      </c>
      <c r="Q10" s="326"/>
      <c r="R10" s="327"/>
    </row>
    <row r="11" spans="2:18">
      <c r="B11" s="227">
        <v>8</v>
      </c>
      <c r="C11" s="225" t="s">
        <v>748</v>
      </c>
      <c r="D11" s="226" t="s">
        <v>107</v>
      </c>
      <c r="E11" s="225">
        <v>1974</v>
      </c>
      <c r="F11" s="225" t="s">
        <v>15</v>
      </c>
      <c r="G11" s="325" t="s">
        <v>165</v>
      </c>
      <c r="H11" s="326"/>
      <c r="I11" s="327"/>
      <c r="K11" s="227">
        <v>8</v>
      </c>
      <c r="L11" s="225" t="s">
        <v>799</v>
      </c>
      <c r="M11" s="272">
        <v>64057</v>
      </c>
      <c r="N11" s="226">
        <v>1977</v>
      </c>
      <c r="O11" s="226" t="s">
        <v>40</v>
      </c>
      <c r="P11" s="325" t="s">
        <v>812</v>
      </c>
      <c r="Q11" s="326"/>
      <c r="R11" s="327"/>
    </row>
    <row r="12" spans="2:18">
      <c r="B12" s="227">
        <v>9</v>
      </c>
      <c r="C12" s="225" t="s">
        <v>748</v>
      </c>
      <c r="D12" s="226" t="s">
        <v>108</v>
      </c>
      <c r="E12" s="225">
        <v>1974</v>
      </c>
      <c r="F12" s="225" t="s">
        <v>15</v>
      </c>
      <c r="G12" s="325" t="s">
        <v>165</v>
      </c>
      <c r="H12" s="326"/>
      <c r="I12" s="327"/>
      <c r="K12" s="227">
        <v>9</v>
      </c>
      <c r="L12" s="225" t="s">
        <v>799</v>
      </c>
      <c r="M12" s="226" t="s">
        <v>63</v>
      </c>
      <c r="N12" s="226">
        <v>1988</v>
      </c>
      <c r="O12" s="226" t="s">
        <v>13</v>
      </c>
      <c r="P12" s="325"/>
      <c r="Q12" s="326"/>
      <c r="R12" s="327"/>
    </row>
    <row r="13" spans="2:18">
      <c r="B13" s="227">
        <v>10</v>
      </c>
      <c r="C13" s="225" t="s">
        <v>748</v>
      </c>
      <c r="D13" s="226" t="s">
        <v>109</v>
      </c>
      <c r="E13" s="225">
        <v>1974</v>
      </c>
      <c r="F13" s="225" t="s">
        <v>15</v>
      </c>
      <c r="G13" s="325" t="s">
        <v>165</v>
      </c>
      <c r="H13" s="326"/>
      <c r="I13" s="327"/>
      <c r="K13" s="227">
        <v>10</v>
      </c>
      <c r="L13" s="225" t="s">
        <v>799</v>
      </c>
      <c r="M13" s="226" t="s">
        <v>805</v>
      </c>
      <c r="N13" s="226">
        <v>1992</v>
      </c>
      <c r="O13" s="226" t="s">
        <v>13</v>
      </c>
      <c r="P13" s="325"/>
      <c r="Q13" s="326"/>
      <c r="R13" s="327"/>
    </row>
    <row r="14" spans="2:18">
      <c r="B14" s="227">
        <v>11</v>
      </c>
      <c r="C14" s="225" t="s">
        <v>748</v>
      </c>
      <c r="D14" s="226" t="s">
        <v>110</v>
      </c>
      <c r="E14" s="225">
        <v>1974</v>
      </c>
      <c r="F14" s="225" t="s">
        <v>15</v>
      </c>
      <c r="G14" s="325" t="s">
        <v>165</v>
      </c>
      <c r="H14" s="326"/>
      <c r="I14" s="327"/>
      <c r="K14" s="227">
        <v>11</v>
      </c>
      <c r="L14" s="225" t="s">
        <v>799</v>
      </c>
      <c r="M14" s="272" t="s">
        <v>68</v>
      </c>
      <c r="N14" s="226">
        <v>1973</v>
      </c>
      <c r="O14" s="226" t="s">
        <v>15</v>
      </c>
      <c r="P14" s="325" t="s">
        <v>812</v>
      </c>
      <c r="Q14" s="326"/>
      <c r="R14" s="327"/>
    </row>
    <row r="15" spans="2:18" ht="18" thickBot="1">
      <c r="B15" s="228">
        <v>12</v>
      </c>
      <c r="C15" s="225" t="s">
        <v>748</v>
      </c>
      <c r="D15" s="226" t="s">
        <v>111</v>
      </c>
      <c r="E15" s="225">
        <v>1974</v>
      </c>
      <c r="F15" s="225" t="s">
        <v>15</v>
      </c>
      <c r="G15" s="325" t="s">
        <v>165</v>
      </c>
      <c r="H15" s="326"/>
      <c r="I15" s="327"/>
      <c r="K15" s="228">
        <v>12</v>
      </c>
      <c r="L15" s="225" t="s">
        <v>799</v>
      </c>
      <c r="M15" s="272" t="s">
        <v>14</v>
      </c>
      <c r="N15" s="226">
        <v>1989</v>
      </c>
      <c r="O15" s="226" t="s">
        <v>13</v>
      </c>
      <c r="P15" s="325" t="s">
        <v>812</v>
      </c>
      <c r="Q15" s="326"/>
      <c r="R15" s="327"/>
    </row>
    <row r="16" spans="2:18" ht="18" thickBot="1">
      <c r="B16" s="228">
        <v>13</v>
      </c>
      <c r="C16" s="229" t="s">
        <v>748</v>
      </c>
      <c r="D16" s="230" t="s">
        <v>112</v>
      </c>
      <c r="E16" s="229">
        <v>1974</v>
      </c>
      <c r="F16" s="229" t="s">
        <v>15</v>
      </c>
      <c r="G16" s="328" t="s">
        <v>165</v>
      </c>
      <c r="H16" s="329"/>
      <c r="I16" s="330"/>
      <c r="K16" s="228">
        <v>13</v>
      </c>
      <c r="L16" s="225" t="s">
        <v>799</v>
      </c>
      <c r="M16" s="272" t="s">
        <v>37</v>
      </c>
      <c r="N16" s="226">
        <v>1989</v>
      </c>
      <c r="O16" s="226" t="s">
        <v>13</v>
      </c>
      <c r="P16" s="325" t="s">
        <v>812</v>
      </c>
      <c r="Q16" s="326"/>
      <c r="R16" s="327"/>
    </row>
    <row r="17" spans="2:18">
      <c r="B17" s="227">
        <v>14</v>
      </c>
      <c r="C17" s="225" t="s">
        <v>772</v>
      </c>
      <c r="D17" s="272" t="s">
        <v>761</v>
      </c>
      <c r="E17" s="225">
        <v>1989</v>
      </c>
      <c r="F17" s="225" t="s">
        <v>18</v>
      </c>
      <c r="G17" s="325"/>
      <c r="H17" s="326"/>
      <c r="I17" s="327"/>
      <c r="K17" s="227">
        <v>14</v>
      </c>
      <c r="L17" s="225" t="s">
        <v>799</v>
      </c>
      <c r="M17" s="272" t="s">
        <v>80</v>
      </c>
      <c r="N17" s="226">
        <v>1994</v>
      </c>
      <c r="O17" s="226" t="s">
        <v>13</v>
      </c>
      <c r="P17" s="325" t="s">
        <v>812</v>
      </c>
      <c r="Q17" s="326"/>
      <c r="R17" s="327"/>
    </row>
    <row r="18" spans="2:18">
      <c r="B18" s="227">
        <v>15</v>
      </c>
      <c r="C18" s="225" t="s">
        <v>772</v>
      </c>
      <c r="D18" s="226" t="s">
        <v>152</v>
      </c>
      <c r="E18" s="225">
        <v>1988</v>
      </c>
      <c r="F18" s="225" t="s">
        <v>13</v>
      </c>
      <c r="G18" s="325"/>
      <c r="H18" s="326"/>
      <c r="I18" s="327"/>
      <c r="K18" s="227"/>
      <c r="L18" s="225"/>
      <c r="M18" s="226"/>
      <c r="N18" s="225"/>
      <c r="O18" s="225"/>
      <c r="P18" s="325"/>
      <c r="Q18" s="326"/>
      <c r="R18" s="327"/>
    </row>
    <row r="19" spans="2:18">
      <c r="B19" s="227">
        <v>16</v>
      </c>
      <c r="C19" s="225" t="s">
        <v>772</v>
      </c>
      <c r="D19" s="272" t="s">
        <v>140</v>
      </c>
      <c r="E19" s="225">
        <v>1974</v>
      </c>
      <c r="F19" s="225" t="s">
        <v>15</v>
      </c>
      <c r="G19" s="325"/>
      <c r="H19" s="326"/>
      <c r="I19" s="327"/>
      <c r="K19" s="227"/>
      <c r="L19" s="225"/>
      <c r="M19" s="226"/>
      <c r="N19" s="225"/>
      <c r="O19" s="225"/>
      <c r="P19" s="325"/>
      <c r="Q19" s="326"/>
      <c r="R19" s="327"/>
    </row>
    <row r="20" spans="2:18">
      <c r="B20" s="227">
        <v>17</v>
      </c>
      <c r="C20" s="225" t="s">
        <v>772</v>
      </c>
      <c r="D20" s="272" t="s">
        <v>199</v>
      </c>
      <c r="E20" s="225">
        <v>1974</v>
      </c>
      <c r="F20" s="225" t="s">
        <v>15</v>
      </c>
      <c r="G20" s="325"/>
      <c r="H20" s="326"/>
      <c r="I20" s="327"/>
      <c r="K20" s="227"/>
      <c r="L20" s="225"/>
      <c r="M20" s="226"/>
      <c r="N20" s="225"/>
      <c r="O20" s="225"/>
      <c r="P20" s="325"/>
      <c r="Q20" s="326"/>
      <c r="R20" s="327"/>
    </row>
    <row r="21" spans="2:18">
      <c r="B21" s="227">
        <v>18</v>
      </c>
      <c r="C21" s="225" t="s">
        <v>772</v>
      </c>
      <c r="D21" s="272" t="s">
        <v>78</v>
      </c>
      <c r="E21" s="225">
        <v>1988</v>
      </c>
      <c r="F21" s="225" t="s">
        <v>13</v>
      </c>
      <c r="G21" s="325"/>
      <c r="H21" s="326"/>
      <c r="I21" s="327"/>
      <c r="K21" s="227"/>
      <c r="L21" s="225"/>
      <c r="M21" s="226"/>
      <c r="N21" s="225"/>
      <c r="O21" s="225"/>
      <c r="P21" s="325"/>
      <c r="Q21" s="326"/>
      <c r="R21" s="327"/>
    </row>
    <row r="22" spans="2:18">
      <c r="B22" s="227">
        <v>19</v>
      </c>
      <c r="C22" s="225" t="s">
        <v>772</v>
      </c>
      <c r="D22" s="272" t="s">
        <v>425</v>
      </c>
      <c r="E22" s="225">
        <v>1977</v>
      </c>
      <c r="F22" s="225" t="s">
        <v>15</v>
      </c>
      <c r="G22" s="325"/>
      <c r="H22" s="326"/>
      <c r="I22" s="327"/>
      <c r="K22" s="227"/>
      <c r="L22" s="225"/>
      <c r="M22" s="226"/>
      <c r="N22" s="225"/>
      <c r="O22" s="225"/>
      <c r="P22" s="325"/>
      <c r="Q22" s="326"/>
      <c r="R22" s="327"/>
    </row>
    <row r="23" spans="2:18">
      <c r="B23" s="227">
        <v>20</v>
      </c>
      <c r="C23" s="225" t="s">
        <v>772</v>
      </c>
      <c r="D23" s="272" t="s">
        <v>64</v>
      </c>
      <c r="E23" s="225">
        <v>1989</v>
      </c>
      <c r="F23" s="225" t="s">
        <v>18</v>
      </c>
      <c r="G23" s="325"/>
      <c r="H23" s="326"/>
      <c r="I23" s="327"/>
      <c r="K23" s="227"/>
      <c r="L23" s="225"/>
      <c r="M23" s="226"/>
      <c r="N23" s="225"/>
      <c r="O23" s="225"/>
      <c r="P23" s="325"/>
      <c r="Q23" s="326"/>
      <c r="R23" s="327"/>
    </row>
    <row r="24" spans="2:18">
      <c r="B24" s="227">
        <v>21</v>
      </c>
      <c r="C24" s="225" t="s">
        <v>772</v>
      </c>
      <c r="D24" s="226" t="s">
        <v>185</v>
      </c>
      <c r="E24" s="225">
        <v>1974</v>
      </c>
      <c r="F24" s="225" t="s">
        <v>15</v>
      </c>
      <c r="G24" s="325"/>
      <c r="H24" s="326"/>
      <c r="I24" s="327"/>
      <c r="K24" s="227"/>
      <c r="L24" s="225"/>
      <c r="M24" s="226"/>
      <c r="N24" s="225"/>
      <c r="O24" s="225"/>
      <c r="P24" s="325"/>
      <c r="Q24" s="326"/>
      <c r="R24" s="327"/>
    </row>
  </sheetData>
  <mergeCells count="44">
    <mergeCell ref="P23:R23"/>
    <mergeCell ref="P24:R24"/>
    <mergeCell ref="P18:R18"/>
    <mergeCell ref="P19:R19"/>
    <mergeCell ref="P20:R20"/>
    <mergeCell ref="P21:R21"/>
    <mergeCell ref="P22:R22"/>
    <mergeCell ref="P13:R13"/>
    <mergeCell ref="P14:R14"/>
    <mergeCell ref="P15:R15"/>
    <mergeCell ref="P16:R16"/>
    <mergeCell ref="P17:R17"/>
    <mergeCell ref="P8:R8"/>
    <mergeCell ref="P9:R9"/>
    <mergeCell ref="P10:R10"/>
    <mergeCell ref="P11:R11"/>
    <mergeCell ref="P12:R12"/>
    <mergeCell ref="P3:R3"/>
    <mergeCell ref="P4:R4"/>
    <mergeCell ref="P5:R5"/>
    <mergeCell ref="P6:R6"/>
    <mergeCell ref="P7:R7"/>
    <mergeCell ref="G16:I16"/>
    <mergeCell ref="G3:I3"/>
    <mergeCell ref="G4:I4"/>
    <mergeCell ref="G5:I5"/>
    <mergeCell ref="G6:I6"/>
    <mergeCell ref="G7:I7"/>
    <mergeCell ref="G13:I13"/>
    <mergeCell ref="G14:I14"/>
    <mergeCell ref="G15:I15"/>
    <mergeCell ref="G8:I8"/>
    <mergeCell ref="G9:I9"/>
    <mergeCell ref="G10:I10"/>
    <mergeCell ref="G11:I11"/>
    <mergeCell ref="G12:I12"/>
    <mergeCell ref="G22:I22"/>
    <mergeCell ref="G23:I23"/>
    <mergeCell ref="G24:I24"/>
    <mergeCell ref="G17:I17"/>
    <mergeCell ref="G18:I18"/>
    <mergeCell ref="G19:I19"/>
    <mergeCell ref="G20:I20"/>
    <mergeCell ref="G21:I2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B28"/>
  <sheetViews>
    <sheetView workbookViewId="0">
      <selection activeCell="F10" sqref="F10"/>
    </sheetView>
  </sheetViews>
  <sheetFormatPr defaultRowHeight="17.399999999999999"/>
  <cols>
    <col min="2" max="2" width="5.69921875" bestFit="1" customWidth="1"/>
    <col min="4" max="4" width="11.8984375" bestFit="1" customWidth="1"/>
    <col min="6" max="6" width="11" bestFit="1" customWidth="1"/>
    <col min="15" max="15" width="11" bestFit="1" customWidth="1"/>
    <col min="16" max="16" width="12.19921875" bestFit="1" customWidth="1"/>
    <col min="17" max="17" width="6.19921875" bestFit="1" customWidth="1"/>
    <col min="18" max="18" width="11" bestFit="1" customWidth="1"/>
    <col min="19" max="19" width="67.09765625" bestFit="1" customWidth="1"/>
  </cols>
  <sheetData>
    <row r="2" spans="2:28" ht="18" thickBot="1"/>
    <row r="3" spans="2:28" ht="19.2">
      <c r="B3" s="223" t="s">
        <v>7</v>
      </c>
      <c r="C3" s="223" t="s">
        <v>747</v>
      </c>
      <c r="D3" s="224" t="s">
        <v>8</v>
      </c>
      <c r="E3" s="224" t="s">
        <v>9</v>
      </c>
      <c r="F3" s="224" t="s">
        <v>10</v>
      </c>
      <c r="G3" s="331" t="s">
        <v>202</v>
      </c>
      <c r="H3" s="331"/>
      <c r="I3" s="332"/>
    </row>
    <row r="4" spans="2:28">
      <c r="B4" s="262">
        <v>1</v>
      </c>
      <c r="C4" s="263" t="s">
        <v>784</v>
      </c>
      <c r="D4" s="231" t="s">
        <v>279</v>
      </c>
      <c r="E4" s="231">
        <v>1988</v>
      </c>
      <c r="F4" s="231" t="s">
        <v>113</v>
      </c>
      <c r="G4" s="333"/>
      <c r="H4" s="334"/>
      <c r="I4" s="335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  <c r="AB4" s="266"/>
    </row>
    <row r="5" spans="2:28">
      <c r="B5" s="262">
        <v>2</v>
      </c>
      <c r="C5" s="263" t="s">
        <v>784</v>
      </c>
      <c r="D5" s="231" t="s">
        <v>214</v>
      </c>
      <c r="E5" s="231">
        <v>1988</v>
      </c>
      <c r="F5" s="231" t="s">
        <v>113</v>
      </c>
      <c r="G5" s="333"/>
      <c r="H5" s="334"/>
      <c r="I5" s="335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</row>
    <row r="6" spans="2:28">
      <c r="B6" s="262">
        <v>3</v>
      </c>
      <c r="C6" s="263" t="s">
        <v>784</v>
      </c>
      <c r="D6" s="231" t="s">
        <v>178</v>
      </c>
      <c r="E6" s="231">
        <v>1989</v>
      </c>
      <c r="F6" s="231" t="s">
        <v>113</v>
      </c>
      <c r="G6" s="333"/>
      <c r="H6" s="334"/>
      <c r="I6" s="335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66"/>
      <c r="Y6" s="266"/>
      <c r="Z6" s="266"/>
      <c r="AA6" s="266"/>
      <c r="AB6" s="266"/>
    </row>
    <row r="7" spans="2:28">
      <c r="B7" s="262">
        <v>4</v>
      </c>
      <c r="C7" s="263" t="s">
        <v>784</v>
      </c>
      <c r="D7" s="231" t="s">
        <v>65</v>
      </c>
      <c r="E7" s="231">
        <v>1987</v>
      </c>
      <c r="F7" s="231" t="s">
        <v>13</v>
      </c>
      <c r="G7" s="333"/>
      <c r="H7" s="334"/>
      <c r="I7" s="335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</row>
    <row r="8" spans="2:28">
      <c r="B8" s="262">
        <v>5</v>
      </c>
      <c r="C8" s="263" t="s">
        <v>784</v>
      </c>
      <c r="D8" s="231">
        <v>8833344</v>
      </c>
      <c r="E8" s="231">
        <v>1988</v>
      </c>
      <c r="F8" s="231" t="s">
        <v>129</v>
      </c>
      <c r="G8" s="325"/>
      <c r="H8" s="326"/>
      <c r="I8" s="327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66"/>
      <c r="AB8" s="266"/>
    </row>
    <row r="9" spans="2:28">
      <c r="B9" s="262">
        <v>6</v>
      </c>
      <c r="C9" s="263" t="s">
        <v>784</v>
      </c>
      <c r="D9" s="231" t="s">
        <v>42</v>
      </c>
      <c r="E9" s="231">
        <v>1992</v>
      </c>
      <c r="F9" s="231" t="s">
        <v>113</v>
      </c>
      <c r="G9" s="325"/>
      <c r="H9" s="326"/>
      <c r="I9" s="327"/>
      <c r="L9" s="239"/>
      <c r="M9" s="239"/>
      <c r="N9" s="239"/>
      <c r="O9" s="239"/>
      <c r="P9" s="239"/>
      <c r="Q9" s="239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</row>
    <row r="10" spans="2:28">
      <c r="B10" s="262">
        <v>7</v>
      </c>
      <c r="C10" s="263" t="s">
        <v>784</v>
      </c>
      <c r="D10" s="231" t="s">
        <v>205</v>
      </c>
      <c r="E10" s="231">
        <v>1974</v>
      </c>
      <c r="F10" s="231" t="s">
        <v>127</v>
      </c>
      <c r="G10" s="325"/>
      <c r="H10" s="326"/>
      <c r="I10" s="327"/>
      <c r="L10" s="239"/>
      <c r="M10" s="239"/>
      <c r="N10" s="239"/>
      <c r="O10" s="239"/>
      <c r="P10" s="239"/>
      <c r="Q10" s="239"/>
      <c r="R10" s="266"/>
      <c r="S10" s="266"/>
      <c r="T10" s="266"/>
      <c r="U10" s="266"/>
      <c r="V10" s="266"/>
      <c r="W10" s="266"/>
      <c r="X10" s="266"/>
      <c r="Y10" s="266"/>
      <c r="Z10" s="266"/>
      <c r="AA10" s="266"/>
      <c r="AB10" s="266"/>
    </row>
    <row r="11" spans="2:28">
      <c r="B11" s="262">
        <v>8</v>
      </c>
      <c r="C11" s="263" t="s">
        <v>784</v>
      </c>
      <c r="D11" s="231" t="s">
        <v>207</v>
      </c>
      <c r="E11" s="231">
        <v>1998</v>
      </c>
      <c r="F11" s="231" t="s">
        <v>113</v>
      </c>
      <c r="G11" s="325"/>
      <c r="H11" s="326"/>
      <c r="I11" s="327"/>
      <c r="L11" s="239"/>
      <c r="M11" s="239"/>
      <c r="N11" s="239"/>
      <c r="O11" s="239"/>
      <c r="P11" s="239"/>
      <c r="Q11" s="239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</row>
    <row r="12" spans="2:28">
      <c r="B12" s="262">
        <v>9</v>
      </c>
      <c r="C12" s="263" t="s">
        <v>784</v>
      </c>
      <c r="D12" s="231" t="s">
        <v>184</v>
      </c>
      <c r="E12" s="231">
        <v>1994</v>
      </c>
      <c r="F12" s="231" t="s">
        <v>131</v>
      </c>
      <c r="G12" s="325"/>
      <c r="H12" s="326"/>
      <c r="I12" s="327"/>
      <c r="L12" s="239"/>
      <c r="M12" s="239"/>
      <c r="N12" s="239"/>
      <c r="O12" s="239"/>
      <c r="P12" s="239"/>
      <c r="Q12" s="239"/>
      <c r="R12" s="266"/>
      <c r="S12" s="266"/>
      <c r="T12" s="266"/>
      <c r="U12" s="266"/>
      <c r="V12" s="266"/>
      <c r="W12" s="266"/>
      <c r="X12" s="266"/>
      <c r="Y12" s="266"/>
      <c r="Z12" s="266"/>
      <c r="AA12" s="266"/>
      <c r="AB12" s="266"/>
    </row>
    <row r="13" spans="2:28">
      <c r="B13" s="262">
        <v>10</v>
      </c>
      <c r="C13" s="263" t="s">
        <v>784</v>
      </c>
      <c r="D13" s="265" t="s">
        <v>510</v>
      </c>
      <c r="E13" s="265">
        <v>1988</v>
      </c>
      <c r="F13" s="265" t="s">
        <v>131</v>
      </c>
      <c r="G13" s="325"/>
      <c r="H13" s="326"/>
      <c r="I13" s="327"/>
      <c r="L13" s="239"/>
      <c r="M13" s="239"/>
      <c r="N13" s="239"/>
      <c r="O13" s="239"/>
      <c r="P13" s="267"/>
      <c r="Q13" s="267"/>
      <c r="R13" s="267"/>
      <c r="S13" s="267"/>
      <c r="T13" s="266"/>
      <c r="U13" s="266"/>
      <c r="V13" s="266"/>
      <c r="W13" s="266"/>
      <c r="X13" s="266"/>
      <c r="Y13" s="266"/>
      <c r="Z13" s="266"/>
      <c r="AA13" s="266"/>
      <c r="AB13" s="266"/>
    </row>
    <row r="14" spans="2:28">
      <c r="B14" s="262">
        <v>11</v>
      </c>
      <c r="C14" s="263" t="s">
        <v>784</v>
      </c>
      <c r="D14" s="231" t="s">
        <v>740</v>
      </c>
      <c r="E14" s="231">
        <v>1977</v>
      </c>
      <c r="F14" s="231" t="s">
        <v>15</v>
      </c>
      <c r="G14" s="325"/>
      <c r="H14" s="326"/>
      <c r="I14" s="327"/>
      <c r="L14" s="239"/>
      <c r="M14" s="239"/>
      <c r="N14" s="239"/>
      <c r="O14" s="239"/>
      <c r="P14" s="267"/>
      <c r="Q14" s="267"/>
      <c r="R14" s="267"/>
      <c r="S14" s="267"/>
      <c r="T14" s="266"/>
      <c r="U14" s="266"/>
      <c r="V14" s="266"/>
      <c r="W14" s="266"/>
      <c r="X14" s="266"/>
      <c r="Y14" s="266"/>
      <c r="Z14" s="266"/>
      <c r="AA14" s="266"/>
      <c r="AB14" s="266"/>
    </row>
    <row r="15" spans="2:28" ht="18" thickBot="1">
      <c r="B15" s="264">
        <v>12</v>
      </c>
      <c r="C15" s="263" t="s">
        <v>784</v>
      </c>
      <c r="D15" s="231" t="s">
        <v>697</v>
      </c>
      <c r="E15" s="231">
        <v>1989</v>
      </c>
      <c r="F15" s="231" t="s">
        <v>13</v>
      </c>
      <c r="G15" s="325"/>
      <c r="H15" s="326"/>
      <c r="I15" s="327"/>
      <c r="L15" s="239"/>
      <c r="M15" s="239"/>
      <c r="N15" s="239"/>
      <c r="O15" s="239"/>
      <c r="P15" s="268"/>
      <c r="Q15" s="268"/>
      <c r="R15" s="268"/>
      <c r="S15" s="239"/>
      <c r="T15" s="266"/>
      <c r="U15" s="266"/>
      <c r="V15" s="266"/>
      <c r="W15" s="266"/>
      <c r="X15" s="266"/>
      <c r="Y15" s="266"/>
      <c r="Z15" s="266"/>
      <c r="AA15" s="266"/>
      <c r="AB15" s="266"/>
    </row>
    <row r="16" spans="2:28" ht="18" thickBot="1">
      <c r="B16" s="228">
        <v>13</v>
      </c>
      <c r="C16" s="229"/>
      <c r="D16" s="230"/>
      <c r="E16" s="229"/>
      <c r="F16" s="229"/>
      <c r="G16" s="328"/>
      <c r="H16" s="329"/>
      <c r="I16" s="330"/>
      <c r="L16" s="239"/>
      <c r="M16" s="239"/>
      <c r="N16" s="239"/>
      <c r="O16" s="239"/>
      <c r="P16" s="267"/>
      <c r="Q16" s="267"/>
      <c r="R16" s="267"/>
      <c r="S16" s="267"/>
      <c r="T16" s="266"/>
      <c r="U16" s="266"/>
      <c r="V16" s="266"/>
      <c r="W16" s="266"/>
      <c r="X16" s="266"/>
      <c r="Y16" s="266"/>
      <c r="Z16" s="266"/>
      <c r="AA16" s="266"/>
      <c r="AB16" s="266"/>
    </row>
    <row r="17" spans="2:28">
      <c r="B17" s="227">
        <v>14</v>
      </c>
      <c r="C17" s="225"/>
      <c r="D17" s="226"/>
      <c r="E17" s="225"/>
      <c r="F17" s="225"/>
      <c r="G17" s="325"/>
      <c r="H17" s="326"/>
      <c r="I17" s="327"/>
      <c r="L17" s="266"/>
      <c r="M17" s="266"/>
      <c r="N17" s="266"/>
      <c r="O17" s="239"/>
      <c r="P17" s="267"/>
      <c r="Q17" s="267"/>
      <c r="R17" s="267"/>
      <c r="S17" s="267"/>
      <c r="T17" s="266"/>
      <c r="U17" s="266"/>
      <c r="V17" s="266"/>
      <c r="W17" s="266"/>
      <c r="X17" s="266"/>
      <c r="Y17" s="266"/>
      <c r="Z17" s="266"/>
      <c r="AA17" s="266"/>
      <c r="AB17" s="266"/>
    </row>
    <row r="18" spans="2:28">
      <c r="B18" s="227">
        <v>15</v>
      </c>
      <c r="C18" s="225"/>
      <c r="D18" s="226"/>
      <c r="E18" s="225"/>
      <c r="F18" s="225"/>
      <c r="G18" s="325"/>
      <c r="H18" s="326"/>
      <c r="I18" s="327"/>
      <c r="L18" s="266"/>
      <c r="M18" s="266"/>
      <c r="N18" s="266"/>
      <c r="O18" s="239"/>
      <c r="P18" s="267"/>
      <c r="Q18" s="267"/>
      <c r="R18" s="267"/>
      <c r="S18" s="267"/>
      <c r="T18" s="266"/>
      <c r="U18" s="266"/>
      <c r="V18" s="266"/>
      <c r="W18" s="266"/>
      <c r="X18" s="266"/>
      <c r="Y18" s="266"/>
      <c r="Z18" s="266"/>
      <c r="AA18" s="266"/>
      <c r="AB18" s="266"/>
    </row>
    <row r="19" spans="2:28">
      <c r="B19" s="227">
        <v>16</v>
      </c>
      <c r="C19" s="225"/>
      <c r="D19" s="226"/>
      <c r="E19" s="225"/>
      <c r="F19" s="225"/>
      <c r="G19" s="325"/>
      <c r="H19" s="326"/>
      <c r="I19" s="327"/>
      <c r="L19" s="266"/>
      <c r="M19" s="266"/>
      <c r="N19" s="266"/>
      <c r="O19" s="239"/>
      <c r="P19" s="267"/>
      <c r="Q19" s="267"/>
      <c r="R19" s="267"/>
      <c r="S19" s="267"/>
      <c r="T19" s="266"/>
      <c r="U19" s="266"/>
      <c r="V19" s="266"/>
      <c r="W19" s="266"/>
      <c r="X19" s="266"/>
      <c r="Y19" s="266"/>
      <c r="Z19" s="266"/>
      <c r="AA19" s="266"/>
      <c r="AB19" s="266"/>
    </row>
    <row r="20" spans="2:28">
      <c r="B20" s="227">
        <v>17</v>
      </c>
      <c r="C20" s="225"/>
      <c r="D20" s="226"/>
      <c r="E20" s="225"/>
      <c r="F20" s="225"/>
      <c r="G20" s="325"/>
      <c r="H20" s="326"/>
      <c r="I20" s="327"/>
      <c r="L20" s="266"/>
      <c r="M20" s="266"/>
      <c r="N20" s="266"/>
      <c r="O20" s="239"/>
      <c r="P20" s="267"/>
      <c r="Q20" s="267"/>
      <c r="R20" s="267"/>
      <c r="S20" s="267"/>
      <c r="T20" s="266"/>
      <c r="U20" s="266"/>
      <c r="V20" s="266"/>
      <c r="W20" s="266"/>
      <c r="X20" s="266"/>
      <c r="Y20" s="266"/>
      <c r="Z20" s="266"/>
      <c r="AA20" s="266"/>
      <c r="AB20" s="266"/>
    </row>
    <row r="21" spans="2:28">
      <c r="B21" s="227">
        <v>18</v>
      </c>
      <c r="C21" s="225"/>
      <c r="D21" s="226"/>
      <c r="E21" s="225"/>
      <c r="F21" s="225"/>
      <c r="G21" s="325"/>
      <c r="H21" s="326"/>
      <c r="I21" s="327"/>
      <c r="L21" s="266"/>
      <c r="M21" s="266"/>
      <c r="N21" s="266"/>
      <c r="O21" s="239"/>
      <c r="P21" s="267"/>
      <c r="Q21" s="267"/>
      <c r="R21" s="267"/>
      <c r="S21" s="267"/>
      <c r="T21" s="266"/>
      <c r="U21" s="266"/>
      <c r="V21" s="266"/>
      <c r="W21" s="266"/>
      <c r="X21" s="266"/>
      <c r="Y21" s="266"/>
      <c r="Z21" s="266"/>
      <c r="AA21" s="266"/>
      <c r="AB21" s="266"/>
    </row>
    <row r="22" spans="2:28">
      <c r="B22" s="227">
        <v>19</v>
      </c>
      <c r="C22" s="225"/>
      <c r="D22" s="226"/>
      <c r="E22" s="225"/>
      <c r="F22" s="225"/>
      <c r="G22" s="325"/>
      <c r="H22" s="326"/>
      <c r="I22" s="327"/>
      <c r="L22" s="266"/>
      <c r="M22" s="266"/>
      <c r="N22" s="266"/>
      <c r="O22" s="239"/>
      <c r="P22" s="267"/>
      <c r="Q22" s="267"/>
      <c r="R22" s="267"/>
      <c r="S22" s="267"/>
      <c r="T22" s="266"/>
      <c r="U22" s="266"/>
      <c r="V22" s="266"/>
      <c r="W22" s="266"/>
      <c r="X22" s="266"/>
      <c r="Y22" s="266"/>
      <c r="Z22" s="266"/>
      <c r="AA22" s="266"/>
      <c r="AB22" s="266"/>
    </row>
    <row r="23" spans="2:28">
      <c r="B23" s="227">
        <v>20</v>
      </c>
      <c r="C23" s="225"/>
      <c r="D23" s="226"/>
      <c r="E23" s="225"/>
      <c r="F23" s="225"/>
      <c r="G23" s="325"/>
      <c r="H23" s="326"/>
      <c r="I23" s="327"/>
      <c r="L23" s="266"/>
      <c r="M23" s="266"/>
      <c r="N23" s="266"/>
      <c r="O23" s="239"/>
      <c r="P23" s="239"/>
      <c r="Q23" s="239"/>
      <c r="R23" s="239"/>
      <c r="S23" s="239"/>
      <c r="T23" s="266"/>
      <c r="U23" s="266"/>
      <c r="V23" s="266"/>
      <c r="W23" s="266"/>
      <c r="X23" s="266"/>
      <c r="Y23" s="266"/>
      <c r="Z23" s="266"/>
      <c r="AA23" s="266"/>
      <c r="AB23" s="266"/>
    </row>
    <row r="24" spans="2:28">
      <c r="B24" s="227">
        <v>21</v>
      </c>
      <c r="C24" s="225"/>
      <c r="D24" s="226"/>
      <c r="E24" s="225"/>
      <c r="F24" s="225"/>
      <c r="G24" s="325"/>
      <c r="H24" s="326"/>
      <c r="I24" s="327"/>
      <c r="L24" s="266"/>
      <c r="M24" s="266"/>
      <c r="N24" s="266"/>
      <c r="O24" s="239"/>
      <c r="P24" s="239"/>
      <c r="Q24" s="239"/>
      <c r="R24" s="239"/>
      <c r="S24" s="239"/>
      <c r="T24" s="266"/>
      <c r="U24" s="266"/>
      <c r="V24" s="266"/>
      <c r="W24" s="266"/>
      <c r="X24" s="266"/>
      <c r="Y24" s="266"/>
      <c r="Z24" s="266"/>
      <c r="AA24" s="266"/>
      <c r="AB24" s="266"/>
    </row>
    <row r="25" spans="2:28">
      <c r="L25" s="266"/>
      <c r="M25" s="266"/>
      <c r="N25" s="266"/>
      <c r="O25" s="239"/>
      <c r="P25" s="267"/>
      <c r="Q25" s="267"/>
      <c r="R25" s="267"/>
      <c r="S25" s="269"/>
      <c r="T25" s="266"/>
      <c r="U25" s="266"/>
      <c r="V25" s="266"/>
      <c r="W25" s="266"/>
      <c r="X25" s="266"/>
      <c r="Y25" s="266"/>
      <c r="Z25" s="266"/>
      <c r="AA25" s="266"/>
      <c r="AB25" s="266"/>
    </row>
    <row r="26" spans="2:28"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</row>
    <row r="27" spans="2:28"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  <c r="Z27" s="266"/>
      <c r="AA27" s="266"/>
      <c r="AB27" s="266"/>
    </row>
    <row r="28" spans="2:28"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</row>
  </sheetData>
  <mergeCells count="22">
    <mergeCell ref="G14:I14"/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21:I21"/>
    <mergeCell ref="G22:I22"/>
    <mergeCell ref="G23:I23"/>
    <mergeCell ref="G24:I24"/>
    <mergeCell ref="G15:I15"/>
    <mergeCell ref="G16:I16"/>
    <mergeCell ref="G17:I17"/>
    <mergeCell ref="G18:I18"/>
    <mergeCell ref="G19:I19"/>
    <mergeCell ref="G20:I2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J20"/>
  <sheetViews>
    <sheetView workbookViewId="0">
      <selection activeCell="A3" sqref="A3:G4"/>
    </sheetView>
  </sheetViews>
  <sheetFormatPr defaultRowHeight="17.399999999999999"/>
  <cols>
    <col min="1" max="1" width="7.5" style="5" customWidth="1"/>
    <col min="2" max="2" width="12.5" style="5" customWidth="1"/>
    <col min="3" max="3" width="12.8984375" style="5" customWidth="1"/>
    <col min="4" max="4" width="12.5" style="5" customWidth="1"/>
    <col min="5" max="5" width="9" style="5"/>
    <col min="6" max="6" width="11.3984375" style="5" customWidth="1"/>
    <col min="7" max="7" width="43.3984375" style="5" bestFit="1" customWidth="1"/>
    <col min="8" max="8" width="38.19921875" customWidth="1"/>
    <col min="9" max="9" width="24" bestFit="1" customWidth="1"/>
  </cols>
  <sheetData>
    <row r="1" spans="1:10" ht="42.75" customHeight="1">
      <c r="A1" s="347" t="s">
        <v>731</v>
      </c>
      <c r="B1" s="347"/>
      <c r="C1" s="347"/>
      <c r="D1" s="347"/>
      <c r="E1" s="347"/>
      <c r="F1" s="347"/>
      <c r="G1" s="347"/>
      <c r="H1" s="347"/>
      <c r="I1" s="347"/>
    </row>
    <row r="2" spans="1:10" ht="18" thickBot="1">
      <c r="C2" s="348" t="s">
        <v>723</v>
      </c>
      <c r="D2" s="348"/>
      <c r="E2" s="348"/>
      <c r="F2" s="348"/>
      <c r="G2" s="348"/>
      <c r="H2" s="209" t="s">
        <v>724</v>
      </c>
    </row>
    <row r="3" spans="1:10" s="148" customFormat="1" ht="17.25" customHeight="1">
      <c r="A3" s="349" t="s">
        <v>7</v>
      </c>
      <c r="B3" s="351" t="s">
        <v>638</v>
      </c>
      <c r="C3" s="353" t="s">
        <v>719</v>
      </c>
      <c r="D3" s="354"/>
      <c r="E3" s="354"/>
      <c r="F3" s="354"/>
      <c r="G3" s="354"/>
      <c r="H3" s="355" t="s">
        <v>708</v>
      </c>
      <c r="I3" s="357" t="s">
        <v>720</v>
      </c>
    </row>
    <row r="4" spans="1:10" s="148" customFormat="1" ht="18" thickBot="1">
      <c r="A4" s="350"/>
      <c r="B4" s="352"/>
      <c r="C4" s="201" t="s">
        <v>718</v>
      </c>
      <c r="D4" s="201" t="s">
        <v>639</v>
      </c>
      <c r="E4" s="201" t="s">
        <v>640</v>
      </c>
      <c r="F4" s="201" t="s">
        <v>641</v>
      </c>
      <c r="G4" s="210" t="s">
        <v>711</v>
      </c>
      <c r="H4" s="356"/>
      <c r="I4" s="358"/>
    </row>
    <row r="5" spans="1:10" ht="17.25" customHeight="1" thickTop="1">
      <c r="A5" s="183">
        <v>1</v>
      </c>
      <c r="B5" s="184" t="s">
        <v>642</v>
      </c>
      <c r="C5" s="185">
        <v>3300000</v>
      </c>
      <c r="D5" s="184" t="s">
        <v>292</v>
      </c>
      <c r="E5" s="184">
        <v>1973</v>
      </c>
      <c r="F5" s="184" t="s">
        <v>127</v>
      </c>
      <c r="G5" s="211" t="s">
        <v>643</v>
      </c>
      <c r="H5" s="336" t="s">
        <v>709</v>
      </c>
      <c r="I5" s="186" t="s">
        <v>721</v>
      </c>
    </row>
    <row r="6" spans="1:10">
      <c r="A6" s="187">
        <v>2</v>
      </c>
      <c r="B6" s="33" t="s">
        <v>644</v>
      </c>
      <c r="C6" s="188">
        <v>2845000</v>
      </c>
      <c r="D6" s="33" t="s">
        <v>370</v>
      </c>
      <c r="E6" s="33">
        <v>1988</v>
      </c>
      <c r="F6" s="33" t="s">
        <v>131</v>
      </c>
      <c r="G6" s="212" t="s">
        <v>645</v>
      </c>
      <c r="H6" s="336"/>
      <c r="I6" s="189"/>
    </row>
    <row r="7" spans="1:10">
      <c r="A7" s="187">
        <v>3</v>
      </c>
      <c r="B7" s="33" t="s">
        <v>646</v>
      </c>
      <c r="C7" s="188">
        <v>3300000</v>
      </c>
      <c r="D7" s="33" t="s">
        <v>275</v>
      </c>
      <c r="E7" s="33">
        <v>1998</v>
      </c>
      <c r="F7" s="33" t="s">
        <v>113</v>
      </c>
      <c r="G7" s="212" t="s">
        <v>643</v>
      </c>
      <c r="H7" s="336"/>
      <c r="I7" s="189" t="s">
        <v>600</v>
      </c>
    </row>
    <row r="8" spans="1:10">
      <c r="A8" s="187">
        <v>4</v>
      </c>
      <c r="B8" s="33" t="s">
        <v>649</v>
      </c>
      <c r="C8" s="188">
        <v>2845000</v>
      </c>
      <c r="D8" s="33" t="s">
        <v>142</v>
      </c>
      <c r="E8" s="33">
        <v>1988</v>
      </c>
      <c r="F8" s="33" t="s">
        <v>113</v>
      </c>
      <c r="G8" s="212" t="s">
        <v>645</v>
      </c>
      <c r="H8" s="337"/>
      <c r="I8" s="189"/>
    </row>
    <row r="9" spans="1:10" ht="16.5" customHeight="1">
      <c r="A9" s="190">
        <v>5</v>
      </c>
      <c r="B9" s="191" t="s">
        <v>650</v>
      </c>
      <c r="C9" s="192">
        <v>3300000</v>
      </c>
      <c r="D9" s="191" t="s">
        <v>398</v>
      </c>
      <c r="E9" s="191">
        <v>1996</v>
      </c>
      <c r="F9" s="191" t="s">
        <v>113</v>
      </c>
      <c r="G9" s="195" t="s">
        <v>643</v>
      </c>
      <c r="H9" s="338" t="s">
        <v>710</v>
      </c>
      <c r="I9" s="193" t="s">
        <v>600</v>
      </c>
    </row>
    <row r="10" spans="1:10">
      <c r="A10" s="190">
        <v>6</v>
      </c>
      <c r="B10" s="191" t="s">
        <v>647</v>
      </c>
      <c r="C10" s="192">
        <v>3300000</v>
      </c>
      <c r="D10" s="191" t="s">
        <v>328</v>
      </c>
      <c r="E10" s="191">
        <v>1989</v>
      </c>
      <c r="F10" s="191" t="s">
        <v>131</v>
      </c>
      <c r="G10" s="195" t="s">
        <v>648</v>
      </c>
      <c r="H10" s="339"/>
      <c r="I10" s="193" t="s">
        <v>600</v>
      </c>
    </row>
    <row r="11" spans="1:10">
      <c r="A11" s="76">
        <v>7</v>
      </c>
      <c r="B11" s="77" t="s">
        <v>651</v>
      </c>
      <c r="C11" s="194">
        <v>2842000</v>
      </c>
      <c r="D11" s="191" t="s">
        <v>376</v>
      </c>
      <c r="E11" s="191">
        <v>1989</v>
      </c>
      <c r="F11" s="191" t="s">
        <v>131</v>
      </c>
      <c r="G11" s="195" t="s">
        <v>645</v>
      </c>
      <c r="H11" s="339"/>
      <c r="I11" s="193" t="s">
        <v>6</v>
      </c>
    </row>
    <row r="12" spans="1:10">
      <c r="A12" s="76">
        <v>8</v>
      </c>
      <c r="B12" s="77"/>
      <c r="C12" s="194"/>
      <c r="D12" s="191" t="s">
        <v>330</v>
      </c>
      <c r="E12" s="191">
        <v>1989</v>
      </c>
      <c r="F12" s="191" t="s">
        <v>131</v>
      </c>
      <c r="G12" s="195" t="s">
        <v>645</v>
      </c>
      <c r="H12" s="340"/>
      <c r="I12" s="193" t="s">
        <v>6</v>
      </c>
      <c r="J12" t="s">
        <v>728</v>
      </c>
    </row>
    <row r="13" spans="1:10" ht="16.5" customHeight="1">
      <c r="A13" s="202">
        <v>9</v>
      </c>
      <c r="B13" s="200" t="s">
        <v>716</v>
      </c>
      <c r="C13" s="196">
        <v>3220000</v>
      </c>
      <c r="D13" s="197" t="s">
        <v>168</v>
      </c>
      <c r="E13" s="197" t="s">
        <v>168</v>
      </c>
      <c r="F13" s="197" t="s">
        <v>168</v>
      </c>
      <c r="G13" s="213" t="s">
        <v>713</v>
      </c>
      <c r="H13" s="341" t="s">
        <v>715</v>
      </c>
      <c r="I13" s="198"/>
    </row>
    <row r="14" spans="1:10">
      <c r="A14" s="202">
        <v>10</v>
      </c>
      <c r="B14" s="200" t="s">
        <v>652</v>
      </c>
      <c r="C14" s="196">
        <v>3300000</v>
      </c>
      <c r="D14" s="199" t="s">
        <v>611</v>
      </c>
      <c r="E14" s="199">
        <v>1974</v>
      </c>
      <c r="F14" s="199" t="s">
        <v>15</v>
      </c>
      <c r="G14" s="344" t="s">
        <v>714</v>
      </c>
      <c r="H14" s="342"/>
      <c r="I14" s="198" t="s">
        <v>6</v>
      </c>
    </row>
    <row r="15" spans="1:10">
      <c r="A15" s="202">
        <v>11</v>
      </c>
      <c r="B15" s="200"/>
      <c r="C15" s="196"/>
      <c r="D15" s="199" t="s">
        <v>653</v>
      </c>
      <c r="E15" s="199">
        <v>1996</v>
      </c>
      <c r="F15" s="199" t="s">
        <v>13</v>
      </c>
      <c r="G15" s="345"/>
      <c r="H15" s="342"/>
      <c r="I15" s="198" t="s">
        <v>6</v>
      </c>
    </row>
    <row r="16" spans="1:10">
      <c r="A16" s="202">
        <v>12</v>
      </c>
      <c r="B16" s="200"/>
      <c r="C16" s="196"/>
      <c r="D16" s="199" t="s">
        <v>654</v>
      </c>
      <c r="E16" s="199">
        <v>1992</v>
      </c>
      <c r="F16" s="199" t="s">
        <v>13</v>
      </c>
      <c r="G16" s="345"/>
      <c r="H16" s="342"/>
      <c r="I16" s="198" t="s">
        <v>6</v>
      </c>
    </row>
    <row r="17" spans="1:10">
      <c r="A17" s="202">
        <v>13</v>
      </c>
      <c r="B17" s="200"/>
      <c r="C17" s="196"/>
      <c r="D17" s="199" t="s">
        <v>655</v>
      </c>
      <c r="E17" s="199">
        <v>1974</v>
      </c>
      <c r="F17" s="199" t="s">
        <v>15</v>
      </c>
      <c r="G17" s="346"/>
      <c r="H17" s="342"/>
      <c r="I17" s="198" t="s">
        <v>6</v>
      </c>
    </row>
    <row r="18" spans="1:10">
      <c r="A18" s="202">
        <v>14</v>
      </c>
      <c r="B18" s="200" t="s">
        <v>717</v>
      </c>
      <c r="C18" s="196">
        <v>1030000</v>
      </c>
      <c r="D18" s="197" t="s">
        <v>695</v>
      </c>
      <c r="E18" s="197">
        <v>1988</v>
      </c>
      <c r="F18" s="197" t="s">
        <v>13</v>
      </c>
      <c r="G18" s="214" t="s">
        <v>712</v>
      </c>
      <c r="H18" s="343"/>
      <c r="I18" s="198" t="s">
        <v>6</v>
      </c>
    </row>
    <row r="19" spans="1:10">
      <c r="A19" s="204">
        <v>15</v>
      </c>
      <c r="B19" s="205" t="s">
        <v>722</v>
      </c>
      <c r="C19" s="206">
        <v>660000</v>
      </c>
      <c r="D19" s="207" t="s">
        <v>333</v>
      </c>
      <c r="E19" s="207">
        <v>1988</v>
      </c>
      <c r="F19" s="207" t="s">
        <v>113</v>
      </c>
      <c r="G19" s="215" t="s">
        <v>727</v>
      </c>
      <c r="H19" s="217" t="s">
        <v>725</v>
      </c>
      <c r="I19" s="208" t="s">
        <v>726</v>
      </c>
      <c r="J19" t="s">
        <v>729</v>
      </c>
    </row>
    <row r="20" spans="1:10" ht="18" thickBot="1">
      <c r="A20" s="17"/>
      <c r="B20" s="18" t="s">
        <v>97</v>
      </c>
      <c r="C20" s="203">
        <f>SUM(C5:C19)</f>
        <v>29942000</v>
      </c>
      <c r="D20" s="18"/>
      <c r="E20" s="18"/>
      <c r="F20" s="18"/>
      <c r="G20" s="216"/>
      <c r="H20" s="218"/>
      <c r="I20" s="175"/>
    </row>
  </sheetData>
  <mergeCells count="11">
    <mergeCell ref="H5:H8"/>
    <mergeCell ref="H9:H12"/>
    <mergeCell ref="H13:H18"/>
    <mergeCell ref="G14:G17"/>
    <mergeCell ref="A1:I1"/>
    <mergeCell ref="C2:G2"/>
    <mergeCell ref="A3:A4"/>
    <mergeCell ref="B3:B4"/>
    <mergeCell ref="C3:G3"/>
    <mergeCell ref="H3:H4"/>
    <mergeCell ref="I3:I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1:J20"/>
  <sheetViews>
    <sheetView workbookViewId="0">
      <selection activeCell="G25" sqref="G25"/>
    </sheetView>
  </sheetViews>
  <sheetFormatPr defaultRowHeight="17.399999999999999"/>
  <cols>
    <col min="1" max="1" width="7.5" style="5" customWidth="1"/>
    <col min="2" max="2" width="12.5" style="5" customWidth="1"/>
    <col min="3" max="3" width="12.8984375" style="5" customWidth="1"/>
    <col min="4" max="4" width="12.5" style="5" customWidth="1"/>
    <col min="5" max="5" width="9" style="5"/>
    <col min="6" max="6" width="11.3984375" style="5" customWidth="1"/>
    <col min="7" max="7" width="43.3984375" style="5" bestFit="1" customWidth="1"/>
    <col min="8" max="8" width="38.19921875" customWidth="1"/>
    <col min="9" max="9" width="24" bestFit="1" customWidth="1"/>
  </cols>
  <sheetData>
    <row r="1" spans="1:10" ht="42.75" customHeight="1">
      <c r="A1" s="347" t="s">
        <v>731</v>
      </c>
      <c r="B1" s="347"/>
      <c r="C1" s="347"/>
      <c r="D1" s="347"/>
      <c r="E1" s="347"/>
      <c r="F1" s="347"/>
      <c r="G1" s="347"/>
      <c r="H1" s="347"/>
      <c r="I1" s="347"/>
    </row>
    <row r="2" spans="1:10" ht="18" thickBot="1">
      <c r="C2" s="348" t="s">
        <v>723</v>
      </c>
      <c r="D2" s="348"/>
      <c r="E2" s="348"/>
      <c r="F2" s="348"/>
      <c r="G2" s="348"/>
      <c r="H2" s="209" t="s">
        <v>724</v>
      </c>
    </row>
    <row r="3" spans="1:10" s="148" customFormat="1" ht="17.25" customHeight="1">
      <c r="A3" s="349" t="s">
        <v>7</v>
      </c>
      <c r="B3" s="351" t="s">
        <v>638</v>
      </c>
      <c r="C3" s="353" t="s">
        <v>719</v>
      </c>
      <c r="D3" s="354"/>
      <c r="E3" s="354"/>
      <c r="F3" s="354"/>
      <c r="G3" s="354"/>
      <c r="H3" s="355" t="s">
        <v>708</v>
      </c>
      <c r="I3" s="357" t="s">
        <v>720</v>
      </c>
    </row>
    <row r="4" spans="1:10" s="148" customFormat="1" ht="18" thickBot="1">
      <c r="A4" s="350"/>
      <c r="B4" s="352"/>
      <c r="C4" s="201" t="s">
        <v>718</v>
      </c>
      <c r="D4" s="201" t="s">
        <v>639</v>
      </c>
      <c r="E4" s="201" t="s">
        <v>640</v>
      </c>
      <c r="F4" s="201" t="s">
        <v>641</v>
      </c>
      <c r="G4" s="210" t="s">
        <v>711</v>
      </c>
      <c r="H4" s="356"/>
      <c r="I4" s="358"/>
    </row>
    <row r="5" spans="1:10" ht="17.25" customHeight="1" thickTop="1">
      <c r="A5" s="183">
        <v>1</v>
      </c>
      <c r="B5" s="184" t="s">
        <v>642</v>
      </c>
      <c r="C5" s="185">
        <v>3300000</v>
      </c>
      <c r="D5" s="184" t="s">
        <v>292</v>
      </c>
      <c r="E5" s="184">
        <v>1973</v>
      </c>
      <c r="F5" s="184" t="s">
        <v>127</v>
      </c>
      <c r="G5" s="211" t="s">
        <v>643</v>
      </c>
      <c r="H5" s="336" t="s">
        <v>709</v>
      </c>
      <c r="I5" s="186" t="s">
        <v>721</v>
      </c>
    </row>
    <row r="6" spans="1:10">
      <c r="A6" s="187">
        <v>2</v>
      </c>
      <c r="B6" s="33" t="s">
        <v>644</v>
      </c>
      <c r="C6" s="188">
        <v>2845000</v>
      </c>
      <c r="D6" s="33" t="s">
        <v>370</v>
      </c>
      <c r="E6" s="33">
        <v>1988</v>
      </c>
      <c r="F6" s="33" t="s">
        <v>131</v>
      </c>
      <c r="G6" s="212" t="s">
        <v>645</v>
      </c>
      <c r="H6" s="336"/>
      <c r="I6" s="189"/>
    </row>
    <row r="7" spans="1:10">
      <c r="A7" s="187">
        <v>3</v>
      </c>
      <c r="B7" s="33" t="s">
        <v>646</v>
      </c>
      <c r="C7" s="188">
        <v>3300000</v>
      </c>
      <c r="D7" s="33" t="s">
        <v>275</v>
      </c>
      <c r="E7" s="33">
        <v>1998</v>
      </c>
      <c r="F7" s="33" t="s">
        <v>113</v>
      </c>
      <c r="G7" s="212" t="s">
        <v>643</v>
      </c>
      <c r="H7" s="336"/>
      <c r="I7" s="189" t="s">
        <v>600</v>
      </c>
    </row>
    <row r="8" spans="1:10">
      <c r="A8" s="187">
        <v>4</v>
      </c>
      <c r="B8" s="33" t="s">
        <v>649</v>
      </c>
      <c r="C8" s="188">
        <v>2845000</v>
      </c>
      <c r="D8" s="33" t="s">
        <v>142</v>
      </c>
      <c r="E8" s="33">
        <v>1988</v>
      </c>
      <c r="F8" s="33" t="s">
        <v>113</v>
      </c>
      <c r="G8" s="212" t="s">
        <v>645</v>
      </c>
      <c r="H8" s="337"/>
      <c r="I8" s="189"/>
    </row>
    <row r="9" spans="1:10" ht="16.5" customHeight="1">
      <c r="A9" s="190">
        <v>5</v>
      </c>
      <c r="B9" s="191" t="s">
        <v>650</v>
      </c>
      <c r="C9" s="192">
        <v>3300000</v>
      </c>
      <c r="D9" s="191" t="s">
        <v>398</v>
      </c>
      <c r="E9" s="191">
        <v>1996</v>
      </c>
      <c r="F9" s="191" t="s">
        <v>113</v>
      </c>
      <c r="G9" s="195" t="s">
        <v>643</v>
      </c>
      <c r="H9" s="338" t="s">
        <v>710</v>
      </c>
      <c r="I9" s="193" t="s">
        <v>600</v>
      </c>
    </row>
    <row r="10" spans="1:10">
      <c r="A10" s="190">
        <v>6</v>
      </c>
      <c r="B10" s="191" t="s">
        <v>647</v>
      </c>
      <c r="C10" s="192">
        <v>3300000</v>
      </c>
      <c r="D10" s="191" t="s">
        <v>328</v>
      </c>
      <c r="E10" s="191">
        <v>1989</v>
      </c>
      <c r="F10" s="191" t="s">
        <v>131</v>
      </c>
      <c r="G10" s="195" t="s">
        <v>648</v>
      </c>
      <c r="H10" s="339"/>
      <c r="I10" s="193" t="s">
        <v>600</v>
      </c>
    </row>
    <row r="11" spans="1:10">
      <c r="A11" s="76">
        <v>7</v>
      </c>
      <c r="B11" s="77" t="s">
        <v>651</v>
      </c>
      <c r="C11" s="194">
        <v>2842000</v>
      </c>
      <c r="D11" s="191" t="s">
        <v>376</v>
      </c>
      <c r="E11" s="191">
        <v>1989</v>
      </c>
      <c r="F11" s="191" t="s">
        <v>131</v>
      </c>
      <c r="G11" s="195" t="s">
        <v>645</v>
      </c>
      <c r="H11" s="339"/>
      <c r="I11" s="193" t="s">
        <v>6</v>
      </c>
    </row>
    <row r="12" spans="1:10">
      <c r="A12" s="76">
        <v>8</v>
      </c>
      <c r="B12" s="77"/>
      <c r="C12" s="194"/>
      <c r="D12" s="191" t="s">
        <v>330</v>
      </c>
      <c r="E12" s="191">
        <v>1989</v>
      </c>
      <c r="F12" s="191" t="s">
        <v>131</v>
      </c>
      <c r="G12" s="195" t="s">
        <v>645</v>
      </c>
      <c r="H12" s="340"/>
      <c r="I12" s="193" t="s">
        <v>6</v>
      </c>
      <c r="J12" t="s">
        <v>728</v>
      </c>
    </row>
    <row r="13" spans="1:10" ht="16.5" customHeight="1">
      <c r="A13" s="202">
        <v>9</v>
      </c>
      <c r="B13" s="200" t="s">
        <v>716</v>
      </c>
      <c r="C13" s="196">
        <v>3220000</v>
      </c>
      <c r="D13" s="197" t="s">
        <v>168</v>
      </c>
      <c r="E13" s="197" t="s">
        <v>168</v>
      </c>
      <c r="F13" s="197" t="s">
        <v>168</v>
      </c>
      <c r="G13" s="213" t="s">
        <v>713</v>
      </c>
      <c r="H13" s="341" t="s">
        <v>715</v>
      </c>
      <c r="I13" s="198"/>
    </row>
    <row r="14" spans="1:10">
      <c r="A14" s="202">
        <v>10</v>
      </c>
      <c r="B14" s="200" t="s">
        <v>652</v>
      </c>
      <c r="C14" s="196">
        <v>3300000</v>
      </c>
      <c r="D14" s="199" t="s">
        <v>611</v>
      </c>
      <c r="E14" s="199">
        <v>1974</v>
      </c>
      <c r="F14" s="199" t="s">
        <v>15</v>
      </c>
      <c r="G14" s="344" t="s">
        <v>714</v>
      </c>
      <c r="H14" s="342"/>
      <c r="I14" s="198" t="s">
        <v>6</v>
      </c>
    </row>
    <row r="15" spans="1:10">
      <c r="A15" s="202">
        <v>11</v>
      </c>
      <c r="B15" s="200"/>
      <c r="C15" s="196"/>
      <c r="D15" s="199" t="s">
        <v>653</v>
      </c>
      <c r="E15" s="199">
        <v>1996</v>
      </c>
      <c r="F15" s="199" t="s">
        <v>13</v>
      </c>
      <c r="G15" s="345"/>
      <c r="H15" s="342"/>
      <c r="I15" s="198" t="s">
        <v>6</v>
      </c>
    </row>
    <row r="16" spans="1:10">
      <c r="A16" s="202">
        <v>12</v>
      </c>
      <c r="B16" s="200"/>
      <c r="C16" s="196"/>
      <c r="D16" s="199" t="s">
        <v>654</v>
      </c>
      <c r="E16" s="199">
        <v>1992</v>
      </c>
      <c r="F16" s="199" t="s">
        <v>13</v>
      </c>
      <c r="G16" s="345"/>
      <c r="H16" s="342"/>
      <c r="I16" s="198" t="s">
        <v>6</v>
      </c>
    </row>
    <row r="17" spans="1:10">
      <c r="A17" s="202">
        <v>13</v>
      </c>
      <c r="B17" s="200"/>
      <c r="C17" s="196"/>
      <c r="D17" s="199" t="s">
        <v>655</v>
      </c>
      <c r="E17" s="199">
        <v>1974</v>
      </c>
      <c r="F17" s="199" t="s">
        <v>15</v>
      </c>
      <c r="G17" s="346"/>
      <c r="H17" s="342"/>
      <c r="I17" s="198" t="s">
        <v>6</v>
      </c>
    </row>
    <row r="18" spans="1:10">
      <c r="A18" s="202">
        <v>14</v>
      </c>
      <c r="B18" s="200" t="s">
        <v>717</v>
      </c>
      <c r="C18" s="196">
        <v>1030000</v>
      </c>
      <c r="D18" s="197" t="s">
        <v>695</v>
      </c>
      <c r="E18" s="197">
        <v>1988</v>
      </c>
      <c r="F18" s="197" t="s">
        <v>13</v>
      </c>
      <c r="G18" s="214" t="s">
        <v>712</v>
      </c>
      <c r="H18" s="343"/>
      <c r="I18" s="198" t="s">
        <v>6</v>
      </c>
    </row>
    <row r="19" spans="1:10">
      <c r="A19" s="204">
        <v>15</v>
      </c>
      <c r="B19" s="205" t="s">
        <v>722</v>
      </c>
      <c r="C19" s="206">
        <v>660000</v>
      </c>
      <c r="D19" s="207" t="s">
        <v>333</v>
      </c>
      <c r="E19" s="207">
        <v>1988</v>
      </c>
      <c r="F19" s="207" t="s">
        <v>113</v>
      </c>
      <c r="G19" s="215" t="s">
        <v>727</v>
      </c>
      <c r="H19" s="217" t="s">
        <v>725</v>
      </c>
      <c r="I19" s="208" t="s">
        <v>726</v>
      </c>
      <c r="J19" t="s">
        <v>729</v>
      </c>
    </row>
    <row r="20" spans="1:10" ht="18" thickBot="1">
      <c r="A20" s="17"/>
      <c r="B20" s="18" t="s">
        <v>97</v>
      </c>
      <c r="C20" s="203">
        <f>SUM(C5:C19)</f>
        <v>29942000</v>
      </c>
      <c r="D20" s="18"/>
      <c r="E20" s="18"/>
      <c r="F20" s="18"/>
      <c r="G20" s="216"/>
      <c r="H20" s="218"/>
      <c r="I20" s="175"/>
    </row>
  </sheetData>
  <mergeCells count="11">
    <mergeCell ref="H9:H12"/>
    <mergeCell ref="G14:G17"/>
    <mergeCell ref="H13:H18"/>
    <mergeCell ref="H5:H8"/>
    <mergeCell ref="A1:I1"/>
    <mergeCell ref="A3:A4"/>
    <mergeCell ref="B3:B4"/>
    <mergeCell ref="C3:G3"/>
    <mergeCell ref="H3:H4"/>
    <mergeCell ref="I3:I4"/>
    <mergeCell ref="C2:G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3"/>
  <sheetViews>
    <sheetView topLeftCell="G1" workbookViewId="0">
      <selection activeCell="P5" sqref="P5"/>
    </sheetView>
  </sheetViews>
  <sheetFormatPr defaultRowHeight="17.399999999999999"/>
  <cols>
    <col min="2" max="3" width="14.19921875" style="5" customWidth="1"/>
    <col min="11" max="11" width="9.8984375" bestFit="1" customWidth="1"/>
    <col min="12" max="12" width="12.19921875" bestFit="1" customWidth="1"/>
    <col min="13" max="13" width="29.3984375" bestFit="1" customWidth="1"/>
    <col min="14" max="15" width="11" bestFit="1" customWidth="1"/>
    <col min="16" max="16" width="28.59765625" bestFit="1" customWidth="1"/>
  </cols>
  <sheetData>
    <row r="1" spans="1:19">
      <c r="B1" s="5" t="s">
        <v>521</v>
      </c>
      <c r="C1" s="5" t="s">
        <v>520</v>
      </c>
      <c r="D1" t="s">
        <v>202</v>
      </c>
      <c r="J1" t="s">
        <v>670</v>
      </c>
    </row>
    <row r="2" spans="1:19">
      <c r="A2" t="s">
        <v>516</v>
      </c>
      <c r="B2" s="5" t="s">
        <v>32</v>
      </c>
      <c r="C2" s="5" t="s">
        <v>32</v>
      </c>
      <c r="J2" t="s">
        <v>671</v>
      </c>
      <c r="K2" t="s">
        <v>672</v>
      </c>
      <c r="L2" t="s">
        <v>673</v>
      </c>
      <c r="M2" t="s">
        <v>674</v>
      </c>
      <c r="N2" t="s">
        <v>675</v>
      </c>
      <c r="O2" t="s">
        <v>676</v>
      </c>
      <c r="P2" t="s">
        <v>202</v>
      </c>
    </row>
    <row r="3" spans="1:19">
      <c r="B3" s="5" t="s">
        <v>135</v>
      </c>
      <c r="C3" s="5" t="s">
        <v>519</v>
      </c>
      <c r="D3" t="s">
        <v>522</v>
      </c>
      <c r="J3" t="s">
        <v>602</v>
      </c>
      <c r="K3" s="180">
        <v>44944</v>
      </c>
      <c r="L3" t="s">
        <v>425</v>
      </c>
      <c r="M3" t="s">
        <v>677</v>
      </c>
      <c r="N3" t="s">
        <v>600</v>
      </c>
      <c r="O3" t="s">
        <v>678</v>
      </c>
      <c r="P3" t="s">
        <v>679</v>
      </c>
    </row>
    <row r="4" spans="1:19">
      <c r="B4" s="5">
        <v>59812</v>
      </c>
      <c r="C4" s="5">
        <v>59812</v>
      </c>
      <c r="L4" t="s">
        <v>32</v>
      </c>
      <c r="M4" t="s">
        <v>677</v>
      </c>
      <c r="N4" t="s">
        <v>600</v>
      </c>
      <c r="O4" t="s">
        <v>680</v>
      </c>
      <c r="P4" t="s">
        <v>681</v>
      </c>
    </row>
    <row r="5" spans="1:19">
      <c r="A5" t="s">
        <v>518</v>
      </c>
      <c r="B5" s="5" t="s">
        <v>199</v>
      </c>
      <c r="C5" s="5" t="s">
        <v>199</v>
      </c>
      <c r="M5" s="181" t="s">
        <v>682</v>
      </c>
      <c r="P5" t="s">
        <v>681</v>
      </c>
    </row>
    <row r="6" spans="1:19">
      <c r="B6" s="5" t="s">
        <v>517</v>
      </c>
      <c r="C6" s="5" t="s">
        <v>517</v>
      </c>
      <c r="J6" t="s">
        <v>607</v>
      </c>
      <c r="K6" s="180">
        <v>44952</v>
      </c>
      <c r="L6" t="s">
        <v>247</v>
      </c>
      <c r="M6" t="s">
        <v>683</v>
      </c>
      <c r="N6" t="s">
        <v>600</v>
      </c>
      <c r="O6" t="s">
        <v>684</v>
      </c>
    </row>
    <row r="7" spans="1:19">
      <c r="B7" s="5" t="s">
        <v>29</v>
      </c>
      <c r="C7" s="5" t="s">
        <v>29</v>
      </c>
      <c r="L7" t="s">
        <v>517</v>
      </c>
      <c r="M7" t="s">
        <v>685</v>
      </c>
      <c r="N7" t="s">
        <v>600</v>
      </c>
      <c r="O7" t="s">
        <v>686</v>
      </c>
      <c r="P7" s="181" t="s">
        <v>687</v>
      </c>
    </row>
    <row r="8" spans="1:19">
      <c r="A8" t="s">
        <v>597</v>
      </c>
      <c r="B8" s="5" t="s">
        <v>517</v>
      </c>
      <c r="C8" s="155" t="s">
        <v>517</v>
      </c>
      <c r="D8" t="s">
        <v>591</v>
      </c>
      <c r="E8" t="s">
        <v>600</v>
      </c>
      <c r="F8">
        <v>114</v>
      </c>
      <c r="K8" s="180">
        <v>45007</v>
      </c>
      <c r="L8" t="s">
        <v>421</v>
      </c>
      <c r="M8" t="s">
        <v>688</v>
      </c>
      <c r="N8" t="s">
        <v>689</v>
      </c>
    </row>
    <row r="9" spans="1:19">
      <c r="A9" t="s">
        <v>523</v>
      </c>
      <c r="B9" s="5" t="s">
        <v>510</v>
      </c>
      <c r="C9" s="5" t="s">
        <v>510</v>
      </c>
      <c r="D9" t="s">
        <v>590</v>
      </c>
      <c r="E9" t="s">
        <v>601</v>
      </c>
      <c r="K9" s="180"/>
      <c r="L9" t="s">
        <v>510</v>
      </c>
      <c r="M9" t="s">
        <v>677</v>
      </c>
      <c r="N9" s="176" t="s">
        <v>168</v>
      </c>
    </row>
    <row r="10" spans="1:19">
      <c r="A10" t="s">
        <v>595</v>
      </c>
      <c r="B10" s="5" t="s">
        <v>587</v>
      </c>
      <c r="C10" s="155" t="s">
        <v>587</v>
      </c>
      <c r="D10" t="s">
        <v>591</v>
      </c>
      <c r="E10" t="s">
        <v>600</v>
      </c>
      <c r="F10">
        <v>116</v>
      </c>
      <c r="K10" s="180">
        <v>45078</v>
      </c>
      <c r="L10" t="s">
        <v>690</v>
      </c>
      <c r="M10" t="s">
        <v>683</v>
      </c>
      <c r="N10" t="s">
        <v>600</v>
      </c>
      <c r="O10" t="s">
        <v>691</v>
      </c>
    </row>
    <row r="11" spans="1:19">
      <c r="A11" t="s">
        <v>598</v>
      </c>
      <c r="B11" s="5" t="s">
        <v>592</v>
      </c>
      <c r="C11" s="5" t="s">
        <v>592</v>
      </c>
      <c r="D11" t="s">
        <v>590</v>
      </c>
      <c r="E11" t="s">
        <v>606</v>
      </c>
      <c r="K11" s="180"/>
      <c r="L11" t="s">
        <v>489</v>
      </c>
      <c r="M11" t="s">
        <v>683</v>
      </c>
      <c r="N11" t="s">
        <v>600</v>
      </c>
      <c r="O11" t="s">
        <v>692</v>
      </c>
    </row>
    <row r="12" spans="1:19">
      <c r="A12" t="s">
        <v>599</v>
      </c>
      <c r="B12" s="5" t="s">
        <v>588</v>
      </c>
      <c r="C12" s="155" t="s">
        <v>588</v>
      </c>
      <c r="D12" t="s">
        <v>591</v>
      </c>
      <c r="E12" t="s">
        <v>600</v>
      </c>
      <c r="F12">
        <v>113</v>
      </c>
      <c r="K12" s="180">
        <v>45133</v>
      </c>
      <c r="L12" t="s">
        <v>611</v>
      </c>
      <c r="M12" t="s">
        <v>693</v>
      </c>
      <c r="N12" t="s">
        <v>6</v>
      </c>
      <c r="O12" t="s">
        <v>694</v>
      </c>
    </row>
    <row r="13" spans="1:19">
      <c r="A13" t="s">
        <v>596</v>
      </c>
      <c r="B13" s="5" t="s">
        <v>589</v>
      </c>
      <c r="C13" s="155" t="s">
        <v>589</v>
      </c>
      <c r="D13" t="s">
        <v>591</v>
      </c>
      <c r="E13" t="s">
        <v>600</v>
      </c>
      <c r="F13">
        <v>113</v>
      </c>
      <c r="L13" t="s">
        <v>653</v>
      </c>
      <c r="M13" t="s">
        <v>693</v>
      </c>
      <c r="N13" t="s">
        <v>6</v>
      </c>
      <c r="O13" t="s">
        <v>694</v>
      </c>
    </row>
    <row r="14" spans="1:19">
      <c r="A14" t="s">
        <v>593</v>
      </c>
      <c r="B14" s="5" t="s">
        <v>594</v>
      </c>
      <c r="D14" t="s">
        <v>590</v>
      </c>
      <c r="E14" t="s">
        <v>605</v>
      </c>
      <c r="L14" t="s">
        <v>654</v>
      </c>
      <c r="M14" t="s">
        <v>693</v>
      </c>
      <c r="N14" t="s">
        <v>6</v>
      </c>
      <c r="O14" t="s">
        <v>694</v>
      </c>
    </row>
    <row r="15" spans="1:19">
      <c r="C15" s="5" t="s">
        <v>610</v>
      </c>
      <c r="D15" t="s">
        <v>609</v>
      </c>
      <c r="E15" t="s">
        <v>605</v>
      </c>
      <c r="L15" t="s">
        <v>655</v>
      </c>
      <c r="M15" t="s">
        <v>693</v>
      </c>
      <c r="N15" t="s">
        <v>6</v>
      </c>
      <c r="O15" t="s">
        <v>694</v>
      </c>
      <c r="S15" s="179"/>
    </row>
    <row r="16" spans="1:19">
      <c r="A16">
        <v>23.08</v>
      </c>
      <c r="B16" s="5">
        <v>1</v>
      </c>
      <c r="C16" s="5" t="s">
        <v>611</v>
      </c>
      <c r="D16" t="s">
        <v>590</v>
      </c>
      <c r="L16" t="s">
        <v>695</v>
      </c>
      <c r="M16" t="s">
        <v>693</v>
      </c>
      <c r="N16" t="s">
        <v>6</v>
      </c>
      <c r="O16" t="s">
        <v>694</v>
      </c>
    </row>
    <row r="17" spans="1:15">
      <c r="B17" s="5">
        <v>2</v>
      </c>
      <c r="C17" s="5" t="s">
        <v>394</v>
      </c>
      <c r="D17" t="s">
        <v>590</v>
      </c>
      <c r="L17" s="176" t="s">
        <v>696</v>
      </c>
      <c r="M17" s="74" t="s">
        <v>682</v>
      </c>
      <c r="N17" s="176" t="s">
        <v>168</v>
      </c>
      <c r="O17" t="s">
        <v>694</v>
      </c>
    </row>
    <row r="18" spans="1:15">
      <c r="B18" s="5">
        <v>3</v>
      </c>
      <c r="C18" s="5" t="s">
        <v>395</v>
      </c>
      <c r="D18" t="s">
        <v>590</v>
      </c>
      <c r="L18" t="s">
        <v>697</v>
      </c>
      <c r="M18" s="74" t="s">
        <v>682</v>
      </c>
      <c r="N18" s="176" t="s">
        <v>168</v>
      </c>
      <c r="O18" t="s">
        <v>694</v>
      </c>
    </row>
    <row r="19" spans="1:15">
      <c r="B19" s="5">
        <v>4</v>
      </c>
      <c r="C19" s="5" t="s">
        <v>393</v>
      </c>
      <c r="D19" t="s">
        <v>590</v>
      </c>
    </row>
    <row r="20" spans="1:15">
      <c r="A20">
        <v>23.09</v>
      </c>
      <c r="B20" s="5">
        <v>1</v>
      </c>
      <c r="C20" s="5">
        <v>64052</v>
      </c>
      <c r="D20" t="s">
        <v>590</v>
      </c>
      <c r="J20" t="s">
        <v>698</v>
      </c>
    </row>
    <row r="21" spans="1:15">
      <c r="B21" s="5">
        <v>2</v>
      </c>
      <c r="C21" s="5" t="s">
        <v>323</v>
      </c>
      <c r="D21" t="s">
        <v>590</v>
      </c>
    </row>
    <row r="22" spans="1:15">
      <c r="B22" s="5">
        <v>3</v>
      </c>
      <c r="C22" s="5" t="s">
        <v>316</v>
      </c>
      <c r="D22" t="s">
        <v>590</v>
      </c>
      <c r="M22" s="23"/>
    </row>
    <row r="23" spans="1:15">
      <c r="B23" s="5">
        <v>4</v>
      </c>
      <c r="C23" s="5" t="s">
        <v>603</v>
      </c>
      <c r="D23" t="s">
        <v>604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workbookViewId="0">
      <selection activeCell="D11" sqref="D11"/>
    </sheetView>
  </sheetViews>
  <sheetFormatPr defaultRowHeight="17.399999999999999"/>
  <cols>
    <col min="1" max="1" width="14.3984375" customWidth="1"/>
    <col min="2" max="2" width="25.69921875" customWidth="1"/>
    <col min="3" max="4" width="34.19921875" customWidth="1"/>
  </cols>
  <sheetData>
    <row r="1" spans="1:8" ht="31.8">
      <c r="A1" s="359" t="s">
        <v>617</v>
      </c>
      <c r="B1" s="359"/>
      <c r="C1" s="359"/>
      <c r="D1" s="359"/>
    </row>
    <row r="2" spans="1:8" ht="19.8" thickBot="1">
      <c r="A2" s="157"/>
      <c r="B2" s="157"/>
      <c r="C2" s="157"/>
      <c r="D2" s="158" t="s">
        <v>634</v>
      </c>
    </row>
    <row r="3" spans="1:8" ht="39.9" customHeight="1" thickBot="1">
      <c r="A3" s="360" t="s">
        <v>618</v>
      </c>
      <c r="B3" s="361"/>
      <c r="C3" s="174" t="s">
        <v>619</v>
      </c>
      <c r="D3" s="159" t="s">
        <v>620</v>
      </c>
    </row>
    <row r="4" spans="1:8" ht="39.9" customHeight="1" thickTop="1">
      <c r="A4" s="362" t="s">
        <v>621</v>
      </c>
      <c r="B4" s="160" t="s">
        <v>622</v>
      </c>
      <c r="C4" s="161"/>
      <c r="D4" s="162"/>
    </row>
    <row r="5" spans="1:8" ht="39.9" customHeight="1">
      <c r="A5" s="363"/>
      <c r="B5" s="163" t="s">
        <v>623</v>
      </c>
      <c r="C5" s="164">
        <v>1</v>
      </c>
      <c r="D5" s="165">
        <v>1</v>
      </c>
    </row>
    <row r="6" spans="1:8" ht="39.9" customHeight="1">
      <c r="A6" s="363"/>
      <c r="B6" s="163" t="s">
        <v>624</v>
      </c>
      <c r="C6" s="164">
        <v>0</v>
      </c>
      <c r="D6" s="165">
        <v>0</v>
      </c>
    </row>
    <row r="7" spans="1:8" ht="39.9" customHeight="1" thickBot="1">
      <c r="A7" s="364"/>
      <c r="B7" s="166" t="s">
        <v>97</v>
      </c>
      <c r="C7" s="167">
        <f>SUM(C4,C5:C6)</f>
        <v>1</v>
      </c>
      <c r="D7" s="168">
        <f>SUM(D4,D5:D6)</f>
        <v>1</v>
      </c>
    </row>
    <row r="8" spans="1:8" ht="39.9" customHeight="1" thickBot="1">
      <c r="A8" s="169" t="s">
        <v>625</v>
      </c>
      <c r="B8" s="170" t="s">
        <v>97</v>
      </c>
      <c r="C8" s="171">
        <v>8</v>
      </c>
      <c r="D8" s="172">
        <v>5</v>
      </c>
      <c r="H8" s="173"/>
    </row>
    <row r="9" spans="1:8" ht="30" customHeight="1">
      <c r="A9" s="365" t="s">
        <v>635</v>
      </c>
      <c r="B9" s="366"/>
      <c r="C9" s="366"/>
      <c r="D9" s="366"/>
    </row>
    <row r="11" spans="1:8">
      <c r="A11" s="176" t="s">
        <v>656</v>
      </c>
      <c r="B11" s="176" t="s">
        <v>657</v>
      </c>
      <c r="C11" s="5">
        <v>7</v>
      </c>
      <c r="D11" s="5">
        <v>9</v>
      </c>
    </row>
    <row r="12" spans="1:8">
      <c r="B12" t="s">
        <v>659</v>
      </c>
      <c r="C12">
        <v>2</v>
      </c>
      <c r="D12">
        <v>6</v>
      </c>
    </row>
    <row r="13" spans="1:8">
      <c r="B13" t="s">
        <v>660</v>
      </c>
      <c r="C13">
        <v>2</v>
      </c>
      <c r="D13">
        <v>0</v>
      </c>
    </row>
    <row r="14" spans="1:8">
      <c r="B14" t="s">
        <v>661</v>
      </c>
      <c r="C14">
        <v>0</v>
      </c>
      <c r="D14">
        <v>2</v>
      </c>
    </row>
    <row r="15" spans="1:8">
      <c r="B15" t="s">
        <v>658</v>
      </c>
      <c r="C15">
        <v>3</v>
      </c>
      <c r="D15">
        <v>1</v>
      </c>
    </row>
  </sheetData>
  <mergeCells count="4">
    <mergeCell ref="A1:D1"/>
    <mergeCell ref="A3:B3"/>
    <mergeCell ref="A4:A7"/>
    <mergeCell ref="A9:D9"/>
  </mergeCells>
  <phoneticPr fontId="1" type="noConversion"/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O39"/>
  <sheetViews>
    <sheetView zoomScale="115" zoomScaleNormal="115" workbookViewId="0">
      <selection activeCell="H18" sqref="H18"/>
    </sheetView>
  </sheetViews>
  <sheetFormatPr defaultRowHeight="17.399999999999999"/>
  <cols>
    <col min="2" max="2" width="11.09765625" bestFit="1" customWidth="1"/>
    <col min="5" max="5" width="11.09765625" bestFit="1" customWidth="1"/>
    <col min="8" max="8" width="11.09765625" bestFit="1" customWidth="1"/>
    <col min="11" max="11" width="11.09765625" bestFit="1" customWidth="1"/>
  </cols>
  <sheetData>
    <row r="1" spans="2:15">
      <c r="B1" s="144" t="s">
        <v>560</v>
      </c>
    </row>
    <row r="2" spans="2:15">
      <c r="B2" s="143"/>
    </row>
    <row r="3" spans="2:15">
      <c r="B3" s="143"/>
      <c r="C3" t="s">
        <v>499</v>
      </c>
      <c r="F3" t="s">
        <v>500</v>
      </c>
      <c r="I3" t="s">
        <v>566</v>
      </c>
    </row>
    <row r="4" spans="2:15">
      <c r="B4" s="143">
        <v>44922</v>
      </c>
      <c r="C4" s="145">
        <v>-26</v>
      </c>
      <c r="E4" s="143">
        <v>44922</v>
      </c>
      <c r="F4" s="145">
        <v>-30</v>
      </c>
      <c r="H4" s="143">
        <v>44922</v>
      </c>
      <c r="I4">
        <f>-(C4+F4)</f>
        <v>56</v>
      </c>
      <c r="K4" s="143">
        <v>44922</v>
      </c>
      <c r="L4">
        <v>56</v>
      </c>
      <c r="N4" t="s">
        <v>565</v>
      </c>
      <c r="O4">
        <v>5</v>
      </c>
    </row>
    <row r="5" spans="2:15">
      <c r="B5" s="143">
        <v>44806</v>
      </c>
      <c r="C5" s="145">
        <v>-43</v>
      </c>
      <c r="E5" s="143">
        <v>44806</v>
      </c>
      <c r="F5" s="145">
        <v>-44</v>
      </c>
      <c r="H5" s="143">
        <v>44806</v>
      </c>
      <c r="I5">
        <f t="shared" ref="I5:I39" si="0">-(C5+F5)</f>
        <v>87</v>
      </c>
      <c r="K5" s="143">
        <v>44806</v>
      </c>
      <c r="L5">
        <v>87</v>
      </c>
      <c r="N5" t="s">
        <v>564</v>
      </c>
      <c r="O5">
        <v>19</v>
      </c>
    </row>
    <row r="6" spans="2:15">
      <c r="B6" s="143">
        <v>44700</v>
      </c>
      <c r="C6" s="145">
        <v>-25</v>
      </c>
      <c r="E6" s="143">
        <v>44700</v>
      </c>
      <c r="F6" s="145">
        <v>-4</v>
      </c>
      <c r="H6" s="143">
        <v>44700</v>
      </c>
      <c r="I6">
        <f t="shared" si="0"/>
        <v>29</v>
      </c>
      <c r="K6" s="143">
        <v>44700</v>
      </c>
      <c r="L6">
        <v>29</v>
      </c>
      <c r="N6" t="s">
        <v>563</v>
      </c>
      <c r="O6">
        <v>4</v>
      </c>
    </row>
    <row r="7" spans="2:15">
      <c r="B7" s="143">
        <v>44693</v>
      </c>
      <c r="C7" s="145">
        <v>-1</v>
      </c>
      <c r="H7" s="143">
        <v>44693</v>
      </c>
      <c r="I7">
        <f t="shared" si="0"/>
        <v>1</v>
      </c>
      <c r="K7" s="143">
        <v>44693</v>
      </c>
      <c r="L7">
        <v>1</v>
      </c>
      <c r="N7" t="s">
        <v>562</v>
      </c>
      <c r="O7">
        <v>48</v>
      </c>
    </row>
    <row r="8" spans="2:15">
      <c r="B8" s="143">
        <v>44463</v>
      </c>
      <c r="C8" s="145">
        <v>-12</v>
      </c>
      <c r="E8" s="143">
        <v>44463</v>
      </c>
      <c r="F8" s="145">
        <v>-13</v>
      </c>
      <c r="H8" s="143">
        <v>44463</v>
      </c>
      <c r="I8">
        <f t="shared" si="0"/>
        <v>25</v>
      </c>
      <c r="K8" s="143">
        <v>44463</v>
      </c>
      <c r="L8">
        <v>25</v>
      </c>
      <c r="N8" t="s">
        <v>561</v>
      </c>
      <c r="O8">
        <v>16</v>
      </c>
    </row>
    <row r="9" spans="2:15">
      <c r="B9" s="143">
        <v>44370</v>
      </c>
      <c r="C9" s="145">
        <v>-1</v>
      </c>
      <c r="E9" s="143">
        <v>44370</v>
      </c>
      <c r="F9" s="145">
        <v>-5</v>
      </c>
      <c r="H9" s="143">
        <v>44370</v>
      </c>
      <c r="I9">
        <f t="shared" si="0"/>
        <v>6</v>
      </c>
      <c r="K9" s="143">
        <v>44370</v>
      </c>
      <c r="L9">
        <v>14</v>
      </c>
      <c r="N9" t="s">
        <v>553</v>
      </c>
      <c r="O9">
        <v>62</v>
      </c>
    </row>
    <row r="10" spans="2:15">
      <c r="B10" s="143">
        <v>44370</v>
      </c>
      <c r="C10" s="145">
        <v>-8</v>
      </c>
      <c r="E10" s="143"/>
      <c r="F10" s="146"/>
      <c r="H10" s="143">
        <v>44370</v>
      </c>
      <c r="I10">
        <f t="shared" si="0"/>
        <v>8</v>
      </c>
      <c r="K10" s="143">
        <v>44288</v>
      </c>
      <c r="L10">
        <v>9</v>
      </c>
      <c r="N10" t="s">
        <v>554</v>
      </c>
      <c r="O10">
        <v>173</v>
      </c>
    </row>
    <row r="11" spans="2:15">
      <c r="B11" s="143">
        <v>44288</v>
      </c>
      <c r="C11" s="146">
        <v>-6</v>
      </c>
      <c r="E11" s="143">
        <v>44288</v>
      </c>
      <c r="F11" s="146">
        <v>-3</v>
      </c>
      <c r="H11" s="143">
        <v>44288</v>
      </c>
      <c r="I11">
        <f t="shared" si="0"/>
        <v>9</v>
      </c>
      <c r="K11" s="143">
        <v>44272</v>
      </c>
      <c r="L11">
        <v>5</v>
      </c>
    </row>
    <row r="12" spans="2:15">
      <c r="B12" s="143">
        <v>44272</v>
      </c>
      <c r="C12" s="146">
        <v>-2</v>
      </c>
      <c r="E12" s="143">
        <v>44272</v>
      </c>
      <c r="F12" s="146">
        <v>-3</v>
      </c>
      <c r="H12" s="143">
        <v>44272</v>
      </c>
      <c r="I12">
        <f t="shared" si="0"/>
        <v>5</v>
      </c>
      <c r="K12" s="143">
        <v>44207</v>
      </c>
      <c r="L12">
        <v>9</v>
      </c>
    </row>
    <row r="13" spans="2:15">
      <c r="B13" s="143">
        <v>44207</v>
      </c>
      <c r="C13" s="146">
        <v>-3</v>
      </c>
      <c r="E13" s="143">
        <v>44207</v>
      </c>
      <c r="F13" s="146">
        <v>-6</v>
      </c>
      <c r="H13" s="143">
        <v>44207</v>
      </c>
      <c r="I13">
        <f t="shared" si="0"/>
        <v>9</v>
      </c>
      <c r="K13" s="143">
        <v>44056</v>
      </c>
      <c r="L13">
        <v>5</v>
      </c>
    </row>
    <row r="14" spans="2:15">
      <c r="B14" s="143">
        <v>44056</v>
      </c>
      <c r="C14" s="146">
        <v>-2</v>
      </c>
      <c r="E14" s="143">
        <v>44056</v>
      </c>
      <c r="F14" s="146">
        <v>-3</v>
      </c>
      <c r="H14" s="143">
        <v>44056</v>
      </c>
      <c r="I14">
        <f t="shared" si="0"/>
        <v>5</v>
      </c>
      <c r="K14" s="143">
        <v>43880</v>
      </c>
      <c r="L14">
        <v>11</v>
      </c>
    </row>
    <row r="15" spans="2:15">
      <c r="B15" s="143">
        <v>43880</v>
      </c>
      <c r="C15" s="146">
        <v>-5</v>
      </c>
      <c r="E15" s="143">
        <v>43880</v>
      </c>
      <c r="F15" s="146">
        <v>-6</v>
      </c>
      <c r="H15" s="143">
        <v>43880</v>
      </c>
      <c r="I15">
        <f t="shared" si="0"/>
        <v>11</v>
      </c>
      <c r="K15" s="143">
        <v>43802</v>
      </c>
      <c r="L15">
        <v>20</v>
      </c>
    </row>
    <row r="16" spans="2:15">
      <c r="B16" s="143">
        <v>43802</v>
      </c>
      <c r="C16" s="146">
        <v>-9</v>
      </c>
      <c r="E16" s="143">
        <v>43802</v>
      </c>
      <c r="F16" s="146">
        <v>-11</v>
      </c>
      <c r="H16" s="143">
        <v>43802</v>
      </c>
      <c r="I16">
        <f t="shared" si="0"/>
        <v>20</v>
      </c>
      <c r="K16" s="143">
        <v>43724</v>
      </c>
      <c r="L16">
        <v>4</v>
      </c>
    </row>
    <row r="17" spans="2:12">
      <c r="B17" s="143">
        <v>43635</v>
      </c>
      <c r="C17" s="146">
        <v>-2</v>
      </c>
      <c r="E17" s="143">
        <v>43724</v>
      </c>
      <c r="F17" s="146">
        <v>-2</v>
      </c>
      <c r="H17" s="143">
        <v>43724</v>
      </c>
      <c r="I17">
        <f t="shared" si="0"/>
        <v>4</v>
      </c>
      <c r="K17" s="143">
        <v>43651</v>
      </c>
      <c r="L17">
        <v>1</v>
      </c>
    </row>
    <row r="18" spans="2:12">
      <c r="E18" s="143">
        <v>43651</v>
      </c>
      <c r="F18" s="146">
        <v>-1</v>
      </c>
      <c r="H18" s="143">
        <v>43651</v>
      </c>
      <c r="I18">
        <f t="shared" si="0"/>
        <v>1</v>
      </c>
      <c r="K18" s="143">
        <v>43635</v>
      </c>
      <c r="L18">
        <v>4</v>
      </c>
    </row>
    <row r="19" spans="2:12">
      <c r="E19" s="143">
        <v>43635</v>
      </c>
      <c r="F19" s="146">
        <v>-4</v>
      </c>
      <c r="H19" s="143">
        <v>43635</v>
      </c>
      <c r="I19">
        <f t="shared" si="0"/>
        <v>4</v>
      </c>
      <c r="K19" s="143">
        <v>43543</v>
      </c>
      <c r="L19">
        <v>17</v>
      </c>
    </row>
    <row r="20" spans="2:12">
      <c r="B20" s="143">
        <v>43543</v>
      </c>
      <c r="C20" s="146">
        <v>-14</v>
      </c>
      <c r="E20" s="143">
        <v>43543</v>
      </c>
      <c r="F20" s="146">
        <v>-1</v>
      </c>
      <c r="H20" s="143">
        <v>43543</v>
      </c>
      <c r="I20">
        <f t="shared" si="0"/>
        <v>15</v>
      </c>
      <c r="K20" s="143">
        <v>43479</v>
      </c>
      <c r="L20">
        <v>2</v>
      </c>
    </row>
    <row r="21" spans="2:12">
      <c r="B21" s="143">
        <v>43543</v>
      </c>
      <c r="C21" s="146">
        <v>-1</v>
      </c>
      <c r="E21" s="143">
        <v>43543</v>
      </c>
      <c r="F21" s="146">
        <v>-1</v>
      </c>
      <c r="H21" s="143">
        <v>43543</v>
      </c>
      <c r="I21">
        <f t="shared" si="0"/>
        <v>2</v>
      </c>
      <c r="K21" s="143">
        <v>43194</v>
      </c>
      <c r="L21">
        <v>4</v>
      </c>
    </row>
    <row r="22" spans="2:12">
      <c r="B22" s="143"/>
      <c r="C22" s="146"/>
      <c r="E22" s="143">
        <v>43479</v>
      </c>
      <c r="F22" s="146">
        <v>-2</v>
      </c>
      <c r="H22" s="143">
        <v>43479</v>
      </c>
      <c r="I22">
        <f t="shared" si="0"/>
        <v>2</v>
      </c>
      <c r="K22" s="143">
        <v>43054</v>
      </c>
      <c r="L22">
        <v>1</v>
      </c>
    </row>
    <row r="23" spans="2:12">
      <c r="B23" s="143">
        <v>43194</v>
      </c>
      <c r="C23" s="146">
        <v>-1</v>
      </c>
      <c r="E23" s="143">
        <v>43194</v>
      </c>
      <c r="F23" s="146">
        <v>-1</v>
      </c>
      <c r="H23" s="143">
        <v>43194</v>
      </c>
      <c r="I23">
        <f t="shared" si="0"/>
        <v>2</v>
      </c>
      <c r="K23" s="143">
        <v>43039</v>
      </c>
      <c r="L23">
        <v>7</v>
      </c>
    </row>
    <row r="24" spans="2:12">
      <c r="B24" s="143">
        <v>43194</v>
      </c>
      <c r="C24" s="146">
        <v>-1</v>
      </c>
      <c r="E24" s="143">
        <v>43194</v>
      </c>
      <c r="F24" s="146">
        <v>-1</v>
      </c>
      <c r="H24" s="143">
        <v>43194</v>
      </c>
      <c r="I24">
        <f t="shared" si="0"/>
        <v>2</v>
      </c>
      <c r="K24" s="143">
        <v>42926</v>
      </c>
      <c r="L24">
        <v>2</v>
      </c>
    </row>
    <row r="25" spans="2:12">
      <c r="E25" s="143">
        <v>43054</v>
      </c>
      <c r="F25" s="146">
        <v>-1</v>
      </c>
      <c r="H25" s="143">
        <v>43054</v>
      </c>
      <c r="I25">
        <f t="shared" si="0"/>
        <v>1</v>
      </c>
      <c r="K25" s="143">
        <v>42887</v>
      </c>
      <c r="L25">
        <v>5</v>
      </c>
    </row>
    <row r="26" spans="2:12">
      <c r="B26" s="143">
        <v>43039</v>
      </c>
      <c r="C26" s="146">
        <v>-1</v>
      </c>
      <c r="E26" s="143">
        <v>43039</v>
      </c>
      <c r="F26" s="146">
        <v>-1</v>
      </c>
      <c r="H26" s="143">
        <v>43039</v>
      </c>
      <c r="I26">
        <f t="shared" si="0"/>
        <v>2</v>
      </c>
      <c r="K26" s="143">
        <v>42824</v>
      </c>
      <c r="L26">
        <v>4</v>
      </c>
    </row>
    <row r="27" spans="2:12">
      <c r="B27" s="143">
        <v>43039</v>
      </c>
      <c r="C27" s="146">
        <v>-1</v>
      </c>
      <c r="E27" s="143">
        <v>43039</v>
      </c>
      <c r="F27" s="146">
        <v>-1</v>
      </c>
      <c r="H27" s="143">
        <v>43039</v>
      </c>
      <c r="I27">
        <f t="shared" si="0"/>
        <v>2</v>
      </c>
      <c r="K27" s="143">
        <v>42666</v>
      </c>
      <c r="L27">
        <v>4</v>
      </c>
    </row>
    <row r="28" spans="2:12">
      <c r="E28" s="143">
        <v>43039</v>
      </c>
      <c r="F28" s="146">
        <v>-1</v>
      </c>
      <c r="H28" s="143">
        <v>43039</v>
      </c>
      <c r="I28">
        <f t="shared" si="0"/>
        <v>1</v>
      </c>
      <c r="K28" s="143">
        <v>42381</v>
      </c>
      <c r="L28">
        <v>1</v>
      </c>
    </row>
    <row r="29" spans="2:12">
      <c r="E29" s="143">
        <v>43039</v>
      </c>
      <c r="F29" s="146">
        <v>-1</v>
      </c>
      <c r="H29" s="143">
        <v>43039</v>
      </c>
      <c r="I29">
        <f t="shared" si="0"/>
        <v>1</v>
      </c>
      <c r="K29" s="143"/>
    </row>
    <row r="30" spans="2:12">
      <c r="E30" s="143">
        <v>43039</v>
      </c>
      <c r="F30" s="146">
        <v>-1</v>
      </c>
      <c r="H30" s="143">
        <v>43039</v>
      </c>
      <c r="I30">
        <f t="shared" si="0"/>
        <v>1</v>
      </c>
      <c r="K30" s="143"/>
    </row>
    <row r="31" spans="2:12">
      <c r="E31" s="143">
        <v>42926</v>
      </c>
      <c r="F31" s="146">
        <v>-1</v>
      </c>
      <c r="H31" s="143">
        <v>42926</v>
      </c>
      <c r="I31">
        <f t="shared" si="0"/>
        <v>1</v>
      </c>
    </row>
    <row r="32" spans="2:12">
      <c r="E32" s="143">
        <v>42926</v>
      </c>
      <c r="F32" s="146">
        <v>-1</v>
      </c>
      <c r="H32" s="143">
        <v>42926</v>
      </c>
      <c r="I32">
        <f t="shared" si="0"/>
        <v>1</v>
      </c>
      <c r="K32" s="143"/>
    </row>
    <row r="33" spans="2:11">
      <c r="B33" s="143">
        <v>42887</v>
      </c>
      <c r="C33" s="146">
        <v>-1</v>
      </c>
      <c r="E33" s="143">
        <v>42887</v>
      </c>
      <c r="F33" s="146">
        <v>-1</v>
      </c>
      <c r="H33" s="143">
        <v>42887</v>
      </c>
      <c r="I33">
        <f t="shared" si="0"/>
        <v>2</v>
      </c>
    </row>
    <row r="34" spans="2:11">
      <c r="B34" s="143">
        <v>42887</v>
      </c>
      <c r="C34" s="146">
        <v>-1</v>
      </c>
      <c r="E34" s="143">
        <v>42887</v>
      </c>
      <c r="F34" s="146">
        <v>-1</v>
      </c>
      <c r="H34" s="143">
        <v>42887</v>
      </c>
      <c r="I34">
        <f t="shared" si="0"/>
        <v>2</v>
      </c>
      <c r="K34" s="143"/>
    </row>
    <row r="35" spans="2:11">
      <c r="B35" s="143">
        <v>42887</v>
      </c>
      <c r="C35" s="146">
        <v>-1</v>
      </c>
      <c r="H35" s="143">
        <v>42887</v>
      </c>
      <c r="I35">
        <f t="shared" si="0"/>
        <v>1</v>
      </c>
      <c r="K35" s="143"/>
    </row>
    <row r="36" spans="2:11">
      <c r="B36" s="143">
        <v>42824</v>
      </c>
      <c r="C36" s="146">
        <v>-1</v>
      </c>
      <c r="E36" s="143">
        <v>42824</v>
      </c>
      <c r="F36" s="146">
        <v>-1</v>
      </c>
      <c r="H36" s="143">
        <v>42824</v>
      </c>
      <c r="I36">
        <f t="shared" si="0"/>
        <v>2</v>
      </c>
    </row>
    <row r="37" spans="2:11">
      <c r="B37" s="143">
        <v>42824</v>
      </c>
      <c r="C37" s="146">
        <v>-1</v>
      </c>
      <c r="E37" s="143">
        <v>42824</v>
      </c>
      <c r="F37" s="146">
        <v>-1</v>
      </c>
      <c r="H37" s="143">
        <v>42824</v>
      </c>
      <c r="I37">
        <f t="shared" si="0"/>
        <v>2</v>
      </c>
      <c r="K37" s="143"/>
    </row>
    <row r="38" spans="2:11">
      <c r="B38" s="143">
        <v>42666</v>
      </c>
      <c r="C38" s="146">
        <v>-2</v>
      </c>
      <c r="E38" s="143">
        <v>42666</v>
      </c>
      <c r="F38" s="146">
        <v>-2</v>
      </c>
      <c r="H38" s="143">
        <v>42666</v>
      </c>
      <c r="I38">
        <f t="shared" si="0"/>
        <v>4</v>
      </c>
    </row>
    <row r="39" spans="2:11">
      <c r="B39" s="143">
        <v>42381</v>
      </c>
      <c r="C39" s="146">
        <v>-1</v>
      </c>
      <c r="H39" s="143">
        <v>42381</v>
      </c>
      <c r="I39">
        <f t="shared" si="0"/>
        <v>1</v>
      </c>
    </row>
  </sheetData>
  <phoneticPr fontId="1" type="noConversion"/>
  <conditionalFormatting sqref="H1:H1048576">
    <cfRule type="duplicateValues" dxfId="1" priority="2"/>
  </conditionalFormatting>
  <conditionalFormatting sqref="K34:K35 K37 K32 K4:K30">
    <cfRule type="duplicateValues" dxfId="0" priority="4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"/>
  <sheetViews>
    <sheetView workbookViewId="0"/>
  </sheetViews>
  <sheetFormatPr defaultRowHeight="17.399999999999999"/>
  <cols>
    <col min="1" max="1" width="9.5" bestFit="1" customWidth="1"/>
    <col min="4" max="5" width="11.59765625" bestFit="1" customWidth="1"/>
  </cols>
  <sheetData>
    <row r="1" spans="1:7">
      <c r="B1" t="s">
        <v>499</v>
      </c>
      <c r="C1" t="s">
        <v>500</v>
      </c>
    </row>
    <row r="2" spans="1:7">
      <c r="A2" t="s">
        <v>492</v>
      </c>
      <c r="B2">
        <v>6</v>
      </c>
      <c r="D2">
        <f>SUM(B2:C2)</f>
        <v>6</v>
      </c>
      <c r="F2" t="s">
        <v>567</v>
      </c>
      <c r="G2">
        <v>16</v>
      </c>
    </row>
    <row r="3" spans="1:7">
      <c r="A3" t="s">
        <v>501</v>
      </c>
      <c r="C3">
        <v>10</v>
      </c>
      <c r="D3">
        <f t="shared" ref="D3:D20" si="0">SUM(B3:C3)</f>
        <v>10</v>
      </c>
      <c r="F3" t="s">
        <v>568</v>
      </c>
      <c r="G3">
        <v>15</v>
      </c>
    </row>
    <row r="4" spans="1:7">
      <c r="A4" t="s">
        <v>493</v>
      </c>
      <c r="B4">
        <v>10</v>
      </c>
      <c r="C4">
        <v>5</v>
      </c>
      <c r="D4">
        <f t="shared" si="0"/>
        <v>15</v>
      </c>
      <c r="F4" t="s">
        <v>569</v>
      </c>
      <c r="G4">
        <v>26</v>
      </c>
    </row>
    <row r="5" spans="1:7">
      <c r="A5" t="s">
        <v>502</v>
      </c>
      <c r="C5">
        <v>4</v>
      </c>
      <c r="D5">
        <f t="shared" si="0"/>
        <v>4</v>
      </c>
      <c r="F5" t="s">
        <v>570</v>
      </c>
      <c r="G5">
        <v>12</v>
      </c>
    </row>
    <row r="6" spans="1:7">
      <c r="A6" t="s">
        <v>494</v>
      </c>
      <c r="B6">
        <v>11</v>
      </c>
      <c r="C6">
        <v>11</v>
      </c>
      <c r="D6">
        <f t="shared" si="0"/>
        <v>22</v>
      </c>
      <c r="F6" t="s">
        <v>571</v>
      </c>
      <c r="G6">
        <v>60</v>
      </c>
    </row>
    <row r="7" spans="1:7">
      <c r="A7" t="s">
        <v>495</v>
      </c>
      <c r="B7">
        <v>6</v>
      </c>
      <c r="C7">
        <v>6</v>
      </c>
      <c r="D7">
        <f t="shared" si="0"/>
        <v>12</v>
      </c>
      <c r="F7" t="s">
        <v>562</v>
      </c>
      <c r="G7">
        <v>40</v>
      </c>
    </row>
    <row r="8" spans="1:7">
      <c r="A8" s="136" t="s">
        <v>496</v>
      </c>
      <c r="B8" s="136">
        <v>30</v>
      </c>
      <c r="C8" s="136">
        <v>30</v>
      </c>
      <c r="D8">
        <f t="shared" si="0"/>
        <v>60</v>
      </c>
      <c r="F8" t="s">
        <v>561</v>
      </c>
      <c r="G8">
        <v>40</v>
      </c>
    </row>
    <row r="9" spans="1:7">
      <c r="A9" s="136" t="s">
        <v>497</v>
      </c>
      <c r="B9" s="136">
        <v>20</v>
      </c>
      <c r="C9" s="136">
        <v>20</v>
      </c>
      <c r="D9">
        <f t="shared" si="0"/>
        <v>40</v>
      </c>
      <c r="F9" t="s">
        <v>553</v>
      </c>
      <c r="G9">
        <v>74</v>
      </c>
    </row>
    <row r="10" spans="1:7">
      <c r="A10" s="136" t="s">
        <v>498</v>
      </c>
      <c r="B10" s="136">
        <v>20</v>
      </c>
      <c r="C10" s="136">
        <v>20</v>
      </c>
      <c r="D10">
        <f t="shared" si="0"/>
        <v>40</v>
      </c>
      <c r="F10" t="s">
        <v>554</v>
      </c>
      <c r="G10">
        <v>141</v>
      </c>
    </row>
    <row r="11" spans="1:7">
      <c r="A11" t="s">
        <v>503</v>
      </c>
      <c r="B11">
        <v>30</v>
      </c>
      <c r="C11">
        <v>30</v>
      </c>
      <c r="D11">
        <f t="shared" si="0"/>
        <v>60</v>
      </c>
      <c r="F11" t="s">
        <v>572</v>
      </c>
      <c r="G11">
        <v>144</v>
      </c>
    </row>
    <row r="12" spans="1:7">
      <c r="A12" t="s">
        <v>504</v>
      </c>
      <c r="B12">
        <v>7</v>
      </c>
      <c r="C12">
        <v>7</v>
      </c>
      <c r="D12">
        <f t="shared" si="0"/>
        <v>14</v>
      </c>
    </row>
    <row r="13" spans="1:7">
      <c r="A13" t="s">
        <v>505</v>
      </c>
      <c r="B13">
        <v>7</v>
      </c>
      <c r="C13">
        <v>7</v>
      </c>
      <c r="D13">
        <f t="shared" si="0"/>
        <v>14</v>
      </c>
    </row>
    <row r="14" spans="1:7">
      <c r="A14" s="136" t="s">
        <v>506</v>
      </c>
      <c r="B14" s="136">
        <v>40</v>
      </c>
      <c r="C14" s="136">
        <v>40</v>
      </c>
      <c r="D14">
        <f t="shared" si="0"/>
        <v>80</v>
      </c>
    </row>
    <row r="15" spans="1:7">
      <c r="A15" s="136" t="s">
        <v>507</v>
      </c>
      <c r="B15" s="136">
        <v>20</v>
      </c>
      <c r="C15" s="136">
        <v>20</v>
      </c>
      <c r="D15">
        <f t="shared" si="0"/>
        <v>40</v>
      </c>
    </row>
    <row r="16" spans="1:7">
      <c r="A16" t="s">
        <v>508</v>
      </c>
      <c r="B16">
        <v>7</v>
      </c>
      <c r="D16">
        <f t="shared" si="0"/>
        <v>7</v>
      </c>
    </row>
    <row r="17" spans="1:4">
      <c r="A17" t="s">
        <v>509</v>
      </c>
      <c r="B17">
        <v>7</v>
      </c>
      <c r="D17">
        <f t="shared" si="0"/>
        <v>7</v>
      </c>
    </row>
    <row r="18" spans="1:4">
      <c r="A18" t="s">
        <v>558</v>
      </c>
      <c r="B18">
        <v>7</v>
      </c>
      <c r="D18">
        <f t="shared" si="0"/>
        <v>7</v>
      </c>
    </row>
    <row r="19" spans="1:4">
      <c r="A19" t="s">
        <v>559</v>
      </c>
      <c r="B19">
        <v>4</v>
      </c>
      <c r="D19">
        <f t="shared" si="0"/>
        <v>4</v>
      </c>
    </row>
    <row r="20" spans="1:4">
      <c r="A20" t="s">
        <v>559</v>
      </c>
      <c r="B20">
        <v>72</v>
      </c>
      <c r="C20">
        <v>54</v>
      </c>
      <c r="D20">
        <f t="shared" si="0"/>
        <v>126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4"/>
  <sheetViews>
    <sheetView topLeftCell="A58" workbookViewId="0">
      <selection activeCell="K89" sqref="K89"/>
    </sheetView>
  </sheetViews>
  <sheetFormatPr defaultRowHeight="17.399999999999999"/>
  <cols>
    <col min="1" max="1" width="4.5" style="5" bestFit="1" customWidth="1"/>
    <col min="2" max="2" width="12.19921875" style="5" bestFit="1" customWidth="1"/>
    <col min="3" max="3" width="13.69921875" style="5" bestFit="1" customWidth="1"/>
    <col min="4" max="5" width="13" style="5" bestFit="1" customWidth="1"/>
    <col min="11" max="11" width="13" bestFit="1" customWidth="1"/>
  </cols>
  <sheetData>
    <row r="1" spans="1:5">
      <c r="B1" s="5" t="s">
        <v>410</v>
      </c>
      <c r="C1" s="5" t="s">
        <v>412</v>
      </c>
      <c r="D1" s="5" t="s">
        <v>415</v>
      </c>
      <c r="E1" s="5" t="s">
        <v>417</v>
      </c>
    </row>
    <row r="2" spans="1:5">
      <c r="A2" s="87">
        <v>1</v>
      </c>
      <c r="B2" s="87" t="s">
        <v>411</v>
      </c>
      <c r="C2" s="87">
        <v>1111</v>
      </c>
      <c r="D2" s="87" t="e">
        <v>#N/A</v>
      </c>
      <c r="E2" s="87"/>
    </row>
    <row r="3" spans="1:5">
      <c r="A3" s="87">
        <v>2</v>
      </c>
      <c r="B3" s="87" t="s">
        <v>391</v>
      </c>
      <c r="C3" s="87">
        <v>1111</v>
      </c>
      <c r="D3" s="87" t="e">
        <v>#N/A</v>
      </c>
      <c r="E3" s="87"/>
    </row>
    <row r="4" spans="1:5">
      <c r="A4" s="87">
        <v>3</v>
      </c>
      <c r="B4" s="87" t="s">
        <v>413</v>
      </c>
      <c r="C4" s="87">
        <v>1111</v>
      </c>
      <c r="D4" s="87" t="e">
        <v>#N/A</v>
      </c>
      <c r="E4" s="87"/>
    </row>
    <row r="5" spans="1:5">
      <c r="A5" s="87">
        <v>4</v>
      </c>
      <c r="B5" s="87" t="s">
        <v>414</v>
      </c>
      <c r="C5" s="87">
        <v>1111</v>
      </c>
      <c r="D5" s="87" t="e">
        <v>#N/A</v>
      </c>
      <c r="E5" s="87"/>
    </row>
    <row r="6" spans="1:5">
      <c r="A6" s="87">
        <v>5</v>
      </c>
      <c r="B6" s="87" t="s">
        <v>176</v>
      </c>
      <c r="C6" s="87">
        <v>1211</v>
      </c>
      <c r="D6" s="87" t="s">
        <v>409</v>
      </c>
      <c r="E6" s="87" t="s">
        <v>416</v>
      </c>
    </row>
    <row r="7" spans="1:5">
      <c r="A7" s="87">
        <v>6</v>
      </c>
      <c r="B7" s="87" t="s">
        <v>175</v>
      </c>
      <c r="C7" s="87">
        <v>1211</v>
      </c>
      <c r="D7" s="87" t="s">
        <v>409</v>
      </c>
      <c r="E7" s="87" t="s">
        <v>416</v>
      </c>
    </row>
    <row r="8" spans="1:5">
      <c r="A8" s="87">
        <v>7</v>
      </c>
      <c r="B8" s="87" t="s">
        <v>229</v>
      </c>
      <c r="C8" s="87">
        <v>1211</v>
      </c>
      <c r="D8" s="87" t="e">
        <v>#N/A</v>
      </c>
      <c r="E8" s="87"/>
    </row>
    <row r="9" spans="1:5">
      <c r="A9" s="87">
        <v>8</v>
      </c>
      <c r="B9" s="87" t="s">
        <v>230</v>
      </c>
      <c r="C9" s="87">
        <v>1211</v>
      </c>
      <c r="D9" s="87" t="e">
        <v>#N/A</v>
      </c>
      <c r="E9" s="87"/>
    </row>
    <row r="10" spans="1:5">
      <c r="A10" s="87">
        <v>9</v>
      </c>
      <c r="B10" s="87" t="s">
        <v>392</v>
      </c>
      <c r="C10" s="87">
        <v>1411</v>
      </c>
      <c r="D10" s="87" t="e">
        <v>#N/A</v>
      </c>
      <c r="E10" s="87"/>
    </row>
    <row r="11" spans="1:5">
      <c r="A11" s="87">
        <v>10</v>
      </c>
      <c r="B11" s="87" t="s">
        <v>393</v>
      </c>
      <c r="C11" s="87">
        <v>1411</v>
      </c>
      <c r="D11" s="87" t="e">
        <v>#N/A</v>
      </c>
      <c r="E11" s="87"/>
    </row>
    <row r="12" spans="1:5">
      <c r="A12" s="87">
        <v>11</v>
      </c>
      <c r="B12" s="87" t="s">
        <v>394</v>
      </c>
      <c r="C12" s="87">
        <v>1411</v>
      </c>
      <c r="D12" s="87" t="e">
        <v>#N/A</v>
      </c>
      <c r="E12" s="87"/>
    </row>
    <row r="13" spans="1:5">
      <c r="A13" s="87">
        <v>12</v>
      </c>
      <c r="B13" s="87" t="s">
        <v>395</v>
      </c>
      <c r="C13" s="87">
        <v>1411</v>
      </c>
      <c r="D13" s="87" t="e">
        <v>#N/A</v>
      </c>
      <c r="E13" s="87"/>
    </row>
    <row r="14" spans="1:5">
      <c r="A14" s="87">
        <v>13</v>
      </c>
      <c r="B14" s="87" t="s">
        <v>396</v>
      </c>
      <c r="C14" s="87">
        <v>1511</v>
      </c>
      <c r="D14" s="87" t="e">
        <v>#N/A</v>
      </c>
      <c r="E14" s="87"/>
    </row>
    <row r="15" spans="1:5">
      <c r="A15" s="87">
        <v>14</v>
      </c>
      <c r="B15" s="87" t="s">
        <v>397</v>
      </c>
      <c r="C15" s="87">
        <v>1511</v>
      </c>
      <c r="D15" s="87" t="e">
        <v>#N/A</v>
      </c>
      <c r="E15" s="87"/>
    </row>
    <row r="16" spans="1:5">
      <c r="A16" s="87">
        <v>15</v>
      </c>
      <c r="B16" s="87" t="s">
        <v>398</v>
      </c>
      <c r="C16" s="87">
        <v>1511</v>
      </c>
      <c r="D16" s="87" t="e">
        <v>#N/A</v>
      </c>
      <c r="E16" s="87"/>
    </row>
    <row r="17" spans="1:5">
      <c r="A17" s="87">
        <v>16</v>
      </c>
      <c r="B17" s="87" t="s">
        <v>399</v>
      </c>
      <c r="C17" s="87">
        <v>1511</v>
      </c>
      <c r="D17" s="87" t="e">
        <v>#N/A</v>
      </c>
      <c r="E17" s="87"/>
    </row>
    <row r="18" spans="1:5">
      <c r="A18" s="87">
        <v>17</v>
      </c>
      <c r="B18" s="87" t="s">
        <v>388</v>
      </c>
      <c r="C18" s="87">
        <v>1711</v>
      </c>
      <c r="D18" s="87" t="s">
        <v>409</v>
      </c>
      <c r="E18" s="87" t="s">
        <v>416</v>
      </c>
    </row>
    <row r="19" spans="1:5">
      <c r="A19" s="87">
        <v>18</v>
      </c>
      <c r="B19" s="87" t="s">
        <v>382</v>
      </c>
      <c r="C19" s="87">
        <v>1711</v>
      </c>
      <c r="D19" s="87" t="s">
        <v>409</v>
      </c>
      <c r="E19" s="87" t="s">
        <v>416</v>
      </c>
    </row>
    <row r="20" spans="1:5">
      <c r="A20" s="87">
        <v>19</v>
      </c>
      <c r="B20" s="87" t="s">
        <v>386</v>
      </c>
      <c r="C20" s="87">
        <v>1711</v>
      </c>
      <c r="D20" s="87" t="s">
        <v>409</v>
      </c>
      <c r="E20" s="87" t="s">
        <v>416</v>
      </c>
    </row>
    <row r="21" spans="1:5">
      <c r="A21" s="87">
        <v>20</v>
      </c>
      <c r="B21" s="87" t="s">
        <v>400</v>
      </c>
      <c r="C21" s="87">
        <v>1711</v>
      </c>
      <c r="D21" s="87" t="e">
        <v>#N/A</v>
      </c>
      <c r="E21" s="87"/>
    </row>
    <row r="22" spans="1:5">
      <c r="A22" s="87">
        <v>21</v>
      </c>
      <c r="B22" s="87" t="s">
        <v>305</v>
      </c>
      <c r="C22" s="87">
        <v>1811</v>
      </c>
      <c r="D22" s="87" t="s">
        <v>409</v>
      </c>
      <c r="E22" s="87" t="s">
        <v>416</v>
      </c>
    </row>
    <row r="23" spans="1:5">
      <c r="A23" s="87">
        <v>22</v>
      </c>
      <c r="B23" s="87" t="s">
        <v>401</v>
      </c>
      <c r="C23" s="87">
        <v>1811</v>
      </c>
      <c r="D23" s="87" t="e">
        <v>#N/A</v>
      </c>
      <c r="E23" s="87"/>
    </row>
    <row r="24" spans="1:5">
      <c r="A24" s="87">
        <v>23</v>
      </c>
      <c r="B24" s="87" t="s">
        <v>402</v>
      </c>
      <c r="C24" s="87">
        <v>1811</v>
      </c>
      <c r="D24" s="87" t="e">
        <v>#N/A</v>
      </c>
      <c r="E24" s="87"/>
    </row>
    <row r="25" spans="1:5">
      <c r="A25" s="87">
        <v>24</v>
      </c>
      <c r="B25" s="87" t="s">
        <v>403</v>
      </c>
      <c r="C25" s="87">
        <v>1811</v>
      </c>
      <c r="D25" s="87" t="e">
        <v>#N/A</v>
      </c>
      <c r="E25" s="87"/>
    </row>
    <row r="26" spans="1:5">
      <c r="A26" s="88">
        <v>25</v>
      </c>
      <c r="B26" s="88" t="s">
        <v>369</v>
      </c>
      <c r="C26" s="88">
        <v>1112</v>
      </c>
      <c r="D26" s="88" t="s">
        <v>409</v>
      </c>
      <c r="E26" s="88">
        <v>1212</v>
      </c>
    </row>
    <row r="27" spans="1:5">
      <c r="A27" s="88">
        <v>26</v>
      </c>
      <c r="B27" s="88" t="s">
        <v>337</v>
      </c>
      <c r="C27" s="88">
        <v>1112</v>
      </c>
      <c r="D27" s="88" t="s">
        <v>409</v>
      </c>
      <c r="E27" s="88">
        <v>1212</v>
      </c>
    </row>
    <row r="28" spans="1:5">
      <c r="A28" s="88">
        <v>27</v>
      </c>
      <c r="B28" s="88" t="s">
        <v>375</v>
      </c>
      <c r="C28" s="88">
        <v>1112</v>
      </c>
      <c r="D28" s="88" t="s">
        <v>409</v>
      </c>
      <c r="E28" s="88">
        <v>1212</v>
      </c>
    </row>
    <row r="29" spans="1:5">
      <c r="A29" s="88">
        <v>28</v>
      </c>
      <c r="B29" s="88" t="s">
        <v>358</v>
      </c>
      <c r="C29" s="88">
        <v>1112</v>
      </c>
      <c r="D29" s="88" t="s">
        <v>409</v>
      </c>
      <c r="E29" s="88">
        <v>1212</v>
      </c>
    </row>
    <row r="30" spans="1:5">
      <c r="A30" s="88">
        <v>29</v>
      </c>
      <c r="B30" s="88" t="s">
        <v>418</v>
      </c>
      <c r="C30" s="88">
        <v>112</v>
      </c>
      <c r="D30" s="88" t="s">
        <v>409</v>
      </c>
      <c r="E30" s="88">
        <v>1112</v>
      </c>
    </row>
    <row r="31" spans="1:5">
      <c r="A31" s="88">
        <v>30</v>
      </c>
      <c r="B31" s="88" t="s">
        <v>353</v>
      </c>
      <c r="C31" s="88">
        <v>112</v>
      </c>
      <c r="D31" s="88" t="s">
        <v>409</v>
      </c>
      <c r="E31" s="88">
        <v>1112</v>
      </c>
    </row>
    <row r="32" spans="1:5">
      <c r="A32" s="88">
        <v>31</v>
      </c>
      <c r="B32" s="88" t="s">
        <v>331</v>
      </c>
      <c r="C32" s="88">
        <v>112</v>
      </c>
      <c r="D32" s="88" t="s">
        <v>409</v>
      </c>
      <c r="E32" s="88">
        <v>1112</v>
      </c>
    </row>
    <row r="33" spans="1:5">
      <c r="A33" s="88">
        <v>32</v>
      </c>
      <c r="B33" s="88" t="s">
        <v>325</v>
      </c>
      <c r="C33" s="88">
        <v>112</v>
      </c>
      <c r="D33" s="88" t="s">
        <v>409</v>
      </c>
      <c r="E33" s="88">
        <v>1112</v>
      </c>
    </row>
    <row r="34" spans="1:5">
      <c r="A34" s="88">
        <v>33</v>
      </c>
      <c r="B34" s="88" t="s">
        <v>324</v>
      </c>
      <c r="C34" s="88">
        <v>112</v>
      </c>
      <c r="D34" s="88" t="s">
        <v>409</v>
      </c>
      <c r="E34" s="88">
        <v>1812</v>
      </c>
    </row>
    <row r="35" spans="1:5">
      <c r="A35" s="88">
        <v>34</v>
      </c>
      <c r="B35" s="88" t="s">
        <v>340</v>
      </c>
      <c r="C35" s="88">
        <v>112</v>
      </c>
      <c r="D35" s="88" t="s">
        <v>409</v>
      </c>
      <c r="E35" s="88">
        <v>1812</v>
      </c>
    </row>
    <row r="36" spans="1:5">
      <c r="A36" s="88">
        <v>35</v>
      </c>
      <c r="B36" s="88" t="s">
        <v>345</v>
      </c>
      <c r="C36" s="88">
        <v>112</v>
      </c>
      <c r="D36" s="88" t="s">
        <v>409</v>
      </c>
      <c r="E36" s="88">
        <v>1812</v>
      </c>
    </row>
    <row r="37" spans="1:5">
      <c r="A37" s="88">
        <v>36</v>
      </c>
      <c r="B37" s="88" t="s">
        <v>362</v>
      </c>
      <c r="C37" s="88">
        <v>112</v>
      </c>
      <c r="D37" s="88" t="s">
        <v>409</v>
      </c>
      <c r="E37" s="88">
        <v>1812</v>
      </c>
    </row>
    <row r="38" spans="1:5">
      <c r="A38" s="88">
        <v>37</v>
      </c>
      <c r="B38" s="88" t="s">
        <v>124</v>
      </c>
      <c r="C38" s="88">
        <v>112</v>
      </c>
      <c r="D38" s="88" t="s">
        <v>409</v>
      </c>
      <c r="E38" s="88" t="s">
        <v>416</v>
      </c>
    </row>
    <row r="39" spans="1:5">
      <c r="A39" s="88">
        <v>38</v>
      </c>
      <c r="B39" s="88" t="s">
        <v>133</v>
      </c>
      <c r="C39" s="88">
        <v>112</v>
      </c>
      <c r="D39" s="88" t="s">
        <v>409</v>
      </c>
      <c r="E39" s="88">
        <v>1712</v>
      </c>
    </row>
    <row r="40" spans="1:5">
      <c r="A40" s="88">
        <v>39</v>
      </c>
      <c r="B40" s="88" t="s">
        <v>128</v>
      </c>
      <c r="C40" s="88">
        <v>112</v>
      </c>
      <c r="D40" s="88" t="s">
        <v>409</v>
      </c>
      <c r="E40" s="88" t="s">
        <v>416</v>
      </c>
    </row>
    <row r="41" spans="1:5">
      <c r="A41" s="88">
        <v>40</v>
      </c>
      <c r="B41" s="88" t="s">
        <v>130</v>
      </c>
      <c r="C41" s="88">
        <v>112</v>
      </c>
      <c r="D41" s="88" t="s">
        <v>409</v>
      </c>
      <c r="E41" s="88">
        <v>1712</v>
      </c>
    </row>
    <row r="42" spans="1:5">
      <c r="A42" s="88">
        <v>41</v>
      </c>
      <c r="B42" s="88" t="s">
        <v>363</v>
      </c>
      <c r="C42" s="88">
        <v>112</v>
      </c>
      <c r="D42" s="88" t="s">
        <v>409</v>
      </c>
      <c r="E42" s="88">
        <v>1512</v>
      </c>
    </row>
    <row r="43" spans="1:5">
      <c r="A43" s="88">
        <v>42</v>
      </c>
      <c r="B43" s="88" t="s">
        <v>365</v>
      </c>
      <c r="C43" s="88">
        <v>112</v>
      </c>
      <c r="D43" s="88" t="s">
        <v>409</v>
      </c>
      <c r="E43" s="88">
        <v>1512</v>
      </c>
    </row>
    <row r="44" spans="1:5">
      <c r="A44" s="88">
        <v>43</v>
      </c>
      <c r="B44" s="88" t="s">
        <v>181</v>
      </c>
      <c r="C44" s="88">
        <v>112</v>
      </c>
      <c r="D44" s="88" t="s">
        <v>409</v>
      </c>
      <c r="E44" s="88" t="s">
        <v>416</v>
      </c>
    </row>
    <row r="45" spans="1:5">
      <c r="A45" s="88">
        <v>44</v>
      </c>
      <c r="B45" s="88" t="s">
        <v>329</v>
      </c>
      <c r="C45" s="88">
        <v>112</v>
      </c>
      <c r="D45" s="88" t="s">
        <v>409</v>
      </c>
      <c r="E45" s="88">
        <v>1512</v>
      </c>
    </row>
    <row r="46" spans="1:5">
      <c r="A46" s="88">
        <v>45</v>
      </c>
      <c r="B46" s="88" t="s">
        <v>366</v>
      </c>
      <c r="C46" s="88">
        <v>112</v>
      </c>
      <c r="D46" s="88" t="s">
        <v>409</v>
      </c>
      <c r="E46" s="88">
        <v>1412</v>
      </c>
    </row>
    <row r="47" spans="1:5">
      <c r="A47" s="88">
        <v>46</v>
      </c>
      <c r="B47" s="88" t="s">
        <v>372</v>
      </c>
      <c r="C47" s="88">
        <v>112</v>
      </c>
      <c r="D47" s="88" t="s">
        <v>409</v>
      </c>
      <c r="E47" s="88">
        <v>1412</v>
      </c>
    </row>
    <row r="48" spans="1:5">
      <c r="A48" s="88">
        <v>47</v>
      </c>
      <c r="B48" s="88" t="s">
        <v>326</v>
      </c>
      <c r="C48" s="88">
        <v>112</v>
      </c>
      <c r="D48" s="88" t="s">
        <v>409</v>
      </c>
      <c r="E48" s="88">
        <v>1412</v>
      </c>
    </row>
    <row r="49" spans="1:5">
      <c r="A49" s="88">
        <v>48</v>
      </c>
      <c r="B49" s="88" t="s">
        <v>343</v>
      </c>
      <c r="C49" s="88">
        <v>112</v>
      </c>
      <c r="D49" s="88" t="s">
        <v>409</v>
      </c>
      <c r="E49" s="88">
        <v>1412</v>
      </c>
    </row>
    <row r="50" spans="1:5">
      <c r="A50" s="89">
        <v>49</v>
      </c>
      <c r="B50" s="89" t="s">
        <v>378</v>
      </c>
      <c r="C50" s="89">
        <v>113</v>
      </c>
      <c r="D50" s="89" t="s">
        <v>409</v>
      </c>
      <c r="E50" s="89">
        <v>1113</v>
      </c>
    </row>
    <row r="51" spans="1:5">
      <c r="A51" s="89">
        <v>50</v>
      </c>
      <c r="B51" s="89" t="s">
        <v>354</v>
      </c>
      <c r="C51" s="89">
        <v>113</v>
      </c>
      <c r="D51" s="89" t="s">
        <v>409</v>
      </c>
      <c r="E51" s="89">
        <v>1113</v>
      </c>
    </row>
    <row r="52" spans="1:5">
      <c r="A52" s="89">
        <v>51</v>
      </c>
      <c r="B52" s="89" t="s">
        <v>315</v>
      </c>
      <c r="C52" s="89">
        <v>113</v>
      </c>
      <c r="D52" s="89" t="s">
        <v>409</v>
      </c>
      <c r="E52" s="89">
        <v>1113</v>
      </c>
    </row>
    <row r="53" spans="1:5">
      <c r="A53" s="89">
        <v>52</v>
      </c>
      <c r="B53" s="89" t="s">
        <v>348</v>
      </c>
      <c r="C53" s="89">
        <v>113</v>
      </c>
      <c r="D53" s="89" t="s">
        <v>409</v>
      </c>
      <c r="E53" s="89">
        <v>1113</v>
      </c>
    </row>
    <row r="54" spans="1:5">
      <c r="A54" s="89">
        <v>53</v>
      </c>
      <c r="B54" s="89" t="s">
        <v>339</v>
      </c>
      <c r="C54" s="89">
        <v>113</v>
      </c>
      <c r="D54" s="89" t="s">
        <v>409</v>
      </c>
      <c r="E54" s="89">
        <v>1213</v>
      </c>
    </row>
    <row r="55" spans="1:5">
      <c r="A55" s="89">
        <v>54</v>
      </c>
      <c r="B55" s="89" t="s">
        <v>357</v>
      </c>
      <c r="C55" s="89">
        <v>113</v>
      </c>
      <c r="D55" s="89" t="s">
        <v>409</v>
      </c>
      <c r="E55" s="89">
        <v>1213</v>
      </c>
    </row>
    <row r="56" spans="1:5">
      <c r="A56" s="89">
        <v>55</v>
      </c>
      <c r="B56" s="89" t="s">
        <v>360</v>
      </c>
      <c r="C56" s="89">
        <v>113</v>
      </c>
      <c r="D56" s="89" t="s">
        <v>409</v>
      </c>
      <c r="E56" s="89">
        <v>1213</v>
      </c>
    </row>
    <row r="57" spans="1:5">
      <c r="A57" s="89">
        <v>56</v>
      </c>
      <c r="B57" s="89" t="s">
        <v>320</v>
      </c>
      <c r="C57" s="89">
        <v>113</v>
      </c>
      <c r="D57" s="89" t="s">
        <v>409</v>
      </c>
      <c r="E57" s="89">
        <v>1213</v>
      </c>
    </row>
    <row r="58" spans="1:5">
      <c r="A58" s="89">
        <v>57</v>
      </c>
      <c r="B58" s="89" t="s">
        <v>323</v>
      </c>
      <c r="C58" s="89">
        <v>113</v>
      </c>
      <c r="D58" s="89" t="s">
        <v>409</v>
      </c>
      <c r="E58" s="89">
        <v>1413</v>
      </c>
    </row>
    <row r="59" spans="1:5">
      <c r="A59" s="89">
        <v>58</v>
      </c>
      <c r="B59" s="89" t="s">
        <v>347</v>
      </c>
      <c r="C59" s="89">
        <v>113</v>
      </c>
      <c r="D59" s="89" t="s">
        <v>409</v>
      </c>
      <c r="E59" s="89">
        <v>1716</v>
      </c>
    </row>
    <row r="60" spans="1:5">
      <c r="A60" s="89">
        <v>59</v>
      </c>
      <c r="B60" s="89" t="s">
        <v>316</v>
      </c>
      <c r="C60" s="89">
        <v>113</v>
      </c>
      <c r="D60" s="89" t="s">
        <v>409</v>
      </c>
      <c r="E60" s="89">
        <v>1413</v>
      </c>
    </row>
    <row r="61" spans="1:5">
      <c r="A61" s="89">
        <v>60</v>
      </c>
      <c r="B61" s="89" t="s">
        <v>322</v>
      </c>
      <c r="C61" s="89">
        <v>113</v>
      </c>
      <c r="D61" s="89" t="s">
        <v>409</v>
      </c>
      <c r="E61" s="89">
        <v>1413</v>
      </c>
    </row>
    <row r="62" spans="1:5">
      <c r="A62" s="89">
        <v>61</v>
      </c>
      <c r="B62" s="89" t="s">
        <v>389</v>
      </c>
      <c r="C62" s="89">
        <v>113</v>
      </c>
      <c r="D62" s="89" t="s">
        <v>409</v>
      </c>
      <c r="E62" s="89" t="s">
        <v>416</v>
      </c>
    </row>
    <row r="63" spans="1:5">
      <c r="A63" s="89">
        <v>62</v>
      </c>
      <c r="B63" s="89" t="s">
        <v>356</v>
      </c>
      <c r="C63" s="89">
        <v>113</v>
      </c>
      <c r="D63" s="89" t="s">
        <v>409</v>
      </c>
      <c r="E63" s="89">
        <v>1513</v>
      </c>
    </row>
    <row r="64" spans="1:5">
      <c r="A64" s="89">
        <v>63</v>
      </c>
      <c r="B64" s="89" t="s">
        <v>419</v>
      </c>
      <c r="C64" s="89">
        <v>113</v>
      </c>
      <c r="D64" s="89" t="s">
        <v>409</v>
      </c>
      <c r="E64" s="89">
        <v>1513</v>
      </c>
    </row>
    <row r="65" spans="1:5">
      <c r="A65" s="89">
        <v>64</v>
      </c>
      <c r="B65" s="89" t="s">
        <v>317</v>
      </c>
      <c r="C65" s="89">
        <v>113</v>
      </c>
      <c r="D65" s="89" t="s">
        <v>409</v>
      </c>
      <c r="E65" s="89">
        <v>1513</v>
      </c>
    </row>
    <row r="66" spans="1:5">
      <c r="A66" s="89">
        <v>65</v>
      </c>
      <c r="B66" s="89" t="s">
        <v>349</v>
      </c>
      <c r="C66" s="89">
        <v>113</v>
      </c>
      <c r="D66" s="89" t="s">
        <v>409</v>
      </c>
      <c r="E66" s="89">
        <v>1713</v>
      </c>
    </row>
    <row r="67" spans="1:5">
      <c r="A67" s="89">
        <v>66</v>
      </c>
      <c r="B67" s="89" t="s">
        <v>420</v>
      </c>
      <c r="C67" s="89">
        <v>113</v>
      </c>
      <c r="D67" s="89" t="s">
        <v>409</v>
      </c>
      <c r="E67" s="89">
        <v>1713</v>
      </c>
    </row>
    <row r="68" spans="1:5">
      <c r="A68" s="89">
        <v>67</v>
      </c>
      <c r="B68" s="89" t="s">
        <v>136</v>
      </c>
      <c r="C68" s="89">
        <v>113</v>
      </c>
      <c r="D68" s="89" t="s">
        <v>409</v>
      </c>
      <c r="E68" s="89" t="s">
        <v>416</v>
      </c>
    </row>
    <row r="69" spans="1:5">
      <c r="A69" s="89">
        <v>68</v>
      </c>
      <c r="B69" s="89" t="s">
        <v>138</v>
      </c>
      <c r="C69" s="89">
        <v>113</v>
      </c>
      <c r="D69" s="89" t="s">
        <v>409</v>
      </c>
      <c r="E69" s="89">
        <v>1216</v>
      </c>
    </row>
    <row r="70" spans="1:5">
      <c r="A70" s="89">
        <v>69</v>
      </c>
      <c r="B70" s="89">
        <v>65412</v>
      </c>
      <c r="C70" s="89">
        <v>113</v>
      </c>
      <c r="D70" s="89" t="s">
        <v>409</v>
      </c>
      <c r="E70" s="89">
        <v>1813</v>
      </c>
    </row>
    <row r="71" spans="1:5">
      <c r="A71" s="89">
        <v>70</v>
      </c>
      <c r="B71" s="89" t="s">
        <v>374</v>
      </c>
      <c r="C71" s="89">
        <v>113</v>
      </c>
      <c r="D71" s="89" t="s">
        <v>409</v>
      </c>
      <c r="E71" s="89">
        <v>1813</v>
      </c>
    </row>
    <row r="72" spans="1:5">
      <c r="A72" s="89">
        <v>71</v>
      </c>
      <c r="B72" s="89" t="s">
        <v>144</v>
      </c>
      <c r="C72" s="89">
        <v>113</v>
      </c>
      <c r="D72" s="89" t="s">
        <v>409</v>
      </c>
      <c r="E72" s="89" t="s">
        <v>416</v>
      </c>
    </row>
    <row r="73" spans="1:5">
      <c r="A73" s="89">
        <v>72</v>
      </c>
      <c r="B73" s="89" t="s">
        <v>284</v>
      </c>
      <c r="C73" s="89">
        <v>113</v>
      </c>
      <c r="D73" s="89" t="e">
        <v>#N/A</v>
      </c>
      <c r="E73" s="89"/>
    </row>
    <row r="74" spans="1:5">
      <c r="A74" s="85">
        <v>73</v>
      </c>
      <c r="B74" s="85" t="s">
        <v>373</v>
      </c>
      <c r="C74" s="85">
        <v>114</v>
      </c>
      <c r="D74" s="85" t="s">
        <v>409</v>
      </c>
      <c r="E74" s="85">
        <v>1814</v>
      </c>
    </row>
    <row r="75" spans="1:5">
      <c r="A75" s="85">
        <v>74</v>
      </c>
      <c r="B75" s="85" t="s">
        <v>361</v>
      </c>
      <c r="C75" s="85">
        <v>114</v>
      </c>
      <c r="D75" s="85" t="s">
        <v>409</v>
      </c>
      <c r="E75" s="85">
        <v>1814</v>
      </c>
    </row>
    <row r="76" spans="1:5">
      <c r="A76" s="85">
        <v>75</v>
      </c>
      <c r="B76" s="85" t="s">
        <v>359</v>
      </c>
      <c r="C76" s="85">
        <v>114</v>
      </c>
      <c r="D76" s="85" t="s">
        <v>409</v>
      </c>
      <c r="E76" s="85">
        <v>1814</v>
      </c>
    </row>
    <row r="77" spans="1:5">
      <c r="A77" s="85">
        <v>76</v>
      </c>
      <c r="B77" s="85" t="s">
        <v>333</v>
      </c>
      <c r="C77" s="85">
        <v>114</v>
      </c>
      <c r="D77" s="85" t="s">
        <v>409</v>
      </c>
      <c r="E77" s="85">
        <v>1814</v>
      </c>
    </row>
    <row r="78" spans="1:5">
      <c r="A78" s="85">
        <v>77</v>
      </c>
      <c r="B78" s="85" t="s">
        <v>368</v>
      </c>
      <c r="C78" s="85">
        <v>114</v>
      </c>
      <c r="D78" s="85" t="s">
        <v>409</v>
      </c>
      <c r="E78" s="85">
        <v>1714</v>
      </c>
    </row>
    <row r="79" spans="1:5">
      <c r="A79" s="85">
        <v>78</v>
      </c>
      <c r="B79" s="85" t="s">
        <v>336</v>
      </c>
      <c r="C79" s="85">
        <v>114</v>
      </c>
      <c r="D79" s="85" t="s">
        <v>409</v>
      </c>
      <c r="E79" s="85">
        <v>1714</v>
      </c>
    </row>
    <row r="80" spans="1:5">
      <c r="A80" s="85">
        <v>79</v>
      </c>
      <c r="B80" s="85" t="s">
        <v>318</v>
      </c>
      <c r="C80" s="85">
        <v>114</v>
      </c>
      <c r="D80" s="85" t="s">
        <v>409</v>
      </c>
      <c r="E80" s="85">
        <v>1714</v>
      </c>
    </row>
    <row r="81" spans="1:5">
      <c r="A81" s="85">
        <v>80</v>
      </c>
      <c r="B81" s="85" t="s">
        <v>319</v>
      </c>
      <c r="C81" s="85">
        <v>114</v>
      </c>
      <c r="D81" s="85" t="s">
        <v>409</v>
      </c>
      <c r="E81" s="85">
        <v>1714</v>
      </c>
    </row>
    <row r="82" spans="1:5">
      <c r="A82" s="85">
        <v>81</v>
      </c>
      <c r="B82" s="85" t="s">
        <v>404</v>
      </c>
      <c r="C82" s="85">
        <v>114</v>
      </c>
      <c r="D82" s="85" t="e">
        <v>#N/A</v>
      </c>
      <c r="E82" s="85"/>
    </row>
    <row r="83" spans="1:5">
      <c r="A83" s="85">
        <v>82</v>
      </c>
      <c r="B83" s="85" t="s">
        <v>379</v>
      </c>
      <c r="C83" s="85">
        <v>114</v>
      </c>
      <c r="D83" s="85" t="s">
        <v>409</v>
      </c>
      <c r="E83" s="85">
        <v>1514</v>
      </c>
    </row>
    <row r="84" spans="1:5">
      <c r="A84" s="85">
        <v>83</v>
      </c>
      <c r="B84" s="85" t="s">
        <v>421</v>
      </c>
      <c r="C84" s="85">
        <v>114</v>
      </c>
      <c r="D84" s="85" t="s">
        <v>409</v>
      </c>
      <c r="E84" s="85">
        <v>1514</v>
      </c>
    </row>
    <row r="85" spans="1:5">
      <c r="A85" s="85">
        <v>84</v>
      </c>
      <c r="B85" s="85" t="s">
        <v>350</v>
      </c>
      <c r="C85" s="85">
        <v>114</v>
      </c>
      <c r="D85" s="85" t="s">
        <v>409</v>
      </c>
      <c r="E85" s="85">
        <v>1514</v>
      </c>
    </row>
    <row r="86" spans="1:5">
      <c r="A86" s="85">
        <v>85</v>
      </c>
      <c r="B86" s="85" t="s">
        <v>376</v>
      </c>
      <c r="C86" s="85">
        <v>114</v>
      </c>
      <c r="D86" s="85" t="s">
        <v>409</v>
      </c>
      <c r="E86" s="85">
        <v>1116</v>
      </c>
    </row>
    <row r="87" spans="1:5">
      <c r="A87" s="85">
        <v>86</v>
      </c>
      <c r="B87" s="85" t="s">
        <v>352</v>
      </c>
      <c r="C87" s="85">
        <v>114</v>
      </c>
      <c r="D87" s="85" t="s">
        <v>409</v>
      </c>
      <c r="E87" s="85">
        <v>1414</v>
      </c>
    </row>
    <row r="88" spans="1:5">
      <c r="A88" s="85">
        <v>87</v>
      </c>
      <c r="B88" s="85">
        <v>7733007</v>
      </c>
      <c r="C88" s="85">
        <v>114</v>
      </c>
      <c r="D88" s="85" t="s">
        <v>409</v>
      </c>
      <c r="E88" s="85">
        <v>1414</v>
      </c>
    </row>
    <row r="89" spans="1:5">
      <c r="A89" s="85">
        <v>88</v>
      </c>
      <c r="B89" s="85" t="s">
        <v>334</v>
      </c>
      <c r="C89" s="85">
        <v>114</v>
      </c>
      <c r="D89" s="85" t="s">
        <v>409</v>
      </c>
      <c r="E89" s="85">
        <v>1414</v>
      </c>
    </row>
    <row r="90" spans="1:5">
      <c r="A90" s="85">
        <v>89</v>
      </c>
      <c r="B90" s="85" t="s">
        <v>344</v>
      </c>
      <c r="C90" s="85">
        <v>114</v>
      </c>
      <c r="D90" s="85" t="s">
        <v>409</v>
      </c>
      <c r="E90" s="85">
        <v>1214</v>
      </c>
    </row>
    <row r="91" spans="1:5">
      <c r="A91" s="85">
        <v>90</v>
      </c>
      <c r="B91" s="85" t="s">
        <v>346</v>
      </c>
      <c r="C91" s="85">
        <v>114</v>
      </c>
      <c r="D91" s="85" t="s">
        <v>409</v>
      </c>
      <c r="E91" s="85">
        <v>1214</v>
      </c>
    </row>
    <row r="92" spans="1:5">
      <c r="A92" s="85">
        <v>91</v>
      </c>
      <c r="B92" s="85">
        <v>65414</v>
      </c>
      <c r="C92" s="85">
        <v>114</v>
      </c>
      <c r="D92" s="85" t="e">
        <v>#N/A</v>
      </c>
      <c r="E92" s="85"/>
    </row>
    <row r="93" spans="1:5">
      <c r="A93" s="85">
        <v>92</v>
      </c>
      <c r="B93" s="85" t="s">
        <v>332</v>
      </c>
      <c r="C93" s="85">
        <v>114</v>
      </c>
      <c r="D93" s="85" t="s">
        <v>409</v>
      </c>
      <c r="E93" s="85">
        <v>1214</v>
      </c>
    </row>
    <row r="94" spans="1:5">
      <c r="A94" s="85">
        <v>93</v>
      </c>
      <c r="B94" s="85" t="s">
        <v>370</v>
      </c>
      <c r="C94" s="85">
        <v>114</v>
      </c>
      <c r="D94" s="85" t="s">
        <v>409</v>
      </c>
      <c r="E94" s="85">
        <v>1114</v>
      </c>
    </row>
    <row r="95" spans="1:5">
      <c r="A95" s="85">
        <v>94</v>
      </c>
      <c r="B95" s="85" t="s">
        <v>422</v>
      </c>
      <c r="C95" s="85">
        <v>114</v>
      </c>
      <c r="D95" s="85" t="s">
        <v>409</v>
      </c>
      <c r="E95" s="85">
        <v>1114</v>
      </c>
    </row>
    <row r="96" spans="1:5">
      <c r="A96" s="85">
        <v>95</v>
      </c>
      <c r="B96" s="85" t="s">
        <v>342</v>
      </c>
      <c r="C96" s="85">
        <v>114</v>
      </c>
      <c r="D96" s="85" t="s">
        <v>409</v>
      </c>
      <c r="E96" s="85" t="s">
        <v>416</v>
      </c>
    </row>
    <row r="97" spans="1:5">
      <c r="A97" s="85">
        <v>96</v>
      </c>
      <c r="B97" s="85" t="s">
        <v>341</v>
      </c>
      <c r="C97" s="85">
        <v>114</v>
      </c>
      <c r="D97" s="85" t="s">
        <v>409</v>
      </c>
      <c r="E97" s="85" t="s">
        <v>416</v>
      </c>
    </row>
    <row r="98" spans="1:5">
      <c r="A98" s="86">
        <v>97</v>
      </c>
      <c r="B98" s="86" t="s">
        <v>423</v>
      </c>
      <c r="C98" s="86">
        <v>115</v>
      </c>
      <c r="D98" s="86" t="s">
        <v>409</v>
      </c>
      <c r="E98" s="86">
        <v>1115</v>
      </c>
    </row>
    <row r="99" spans="1:5">
      <c r="A99" s="86">
        <v>98</v>
      </c>
      <c r="B99" s="86" t="s">
        <v>302</v>
      </c>
      <c r="C99" s="86">
        <v>115</v>
      </c>
      <c r="D99" s="86" t="s">
        <v>409</v>
      </c>
      <c r="E99" s="86">
        <v>1115</v>
      </c>
    </row>
    <row r="100" spans="1:5">
      <c r="A100" s="86">
        <v>99</v>
      </c>
      <c r="B100" s="86" t="s">
        <v>301</v>
      </c>
      <c r="C100" s="86">
        <v>115</v>
      </c>
      <c r="D100" s="86" t="s">
        <v>409</v>
      </c>
      <c r="E100" s="86">
        <v>1115</v>
      </c>
    </row>
    <row r="101" spans="1:5">
      <c r="A101" s="86">
        <v>100</v>
      </c>
      <c r="B101" s="86" t="s">
        <v>300</v>
      </c>
      <c r="C101" s="86">
        <v>115</v>
      </c>
      <c r="D101" s="86" t="s">
        <v>409</v>
      </c>
      <c r="E101" s="86">
        <v>1115</v>
      </c>
    </row>
    <row r="102" spans="1:5">
      <c r="A102" s="86">
        <v>101</v>
      </c>
      <c r="B102" s="86" t="s">
        <v>299</v>
      </c>
      <c r="C102" s="86">
        <v>115</v>
      </c>
      <c r="D102" s="86" t="s">
        <v>409</v>
      </c>
      <c r="E102" s="86">
        <v>1215</v>
      </c>
    </row>
    <row r="103" spans="1:5">
      <c r="A103" s="86">
        <v>102</v>
      </c>
      <c r="B103" s="86" t="s">
        <v>298</v>
      </c>
      <c r="C103" s="86">
        <v>115</v>
      </c>
      <c r="D103" s="86" t="s">
        <v>409</v>
      </c>
      <c r="E103" s="86">
        <v>1215</v>
      </c>
    </row>
    <row r="104" spans="1:5">
      <c r="A104" s="86">
        <v>103</v>
      </c>
      <c r="B104" s="86" t="s">
        <v>297</v>
      </c>
      <c r="C104" s="86">
        <v>115</v>
      </c>
      <c r="D104" s="86" t="s">
        <v>409</v>
      </c>
      <c r="E104" s="86">
        <v>1215</v>
      </c>
    </row>
    <row r="105" spans="1:5">
      <c r="A105" s="86">
        <v>104</v>
      </c>
      <c r="B105" s="86">
        <v>7733029</v>
      </c>
      <c r="C105" s="86">
        <v>115</v>
      </c>
      <c r="D105" s="86" t="s">
        <v>409</v>
      </c>
      <c r="E105" s="86">
        <v>1215</v>
      </c>
    </row>
    <row r="106" spans="1:5">
      <c r="A106" s="86">
        <v>105</v>
      </c>
      <c r="B106" s="86" t="s">
        <v>296</v>
      </c>
      <c r="C106" s="86">
        <v>115</v>
      </c>
      <c r="D106" s="86" t="s">
        <v>409</v>
      </c>
      <c r="E106" s="86">
        <v>1415</v>
      </c>
    </row>
    <row r="107" spans="1:5">
      <c r="A107" s="86">
        <v>106</v>
      </c>
      <c r="B107" s="86" t="s">
        <v>295</v>
      </c>
      <c r="C107" s="86">
        <v>115</v>
      </c>
      <c r="D107" s="86" t="s">
        <v>409</v>
      </c>
      <c r="E107" s="86">
        <v>1415</v>
      </c>
    </row>
    <row r="108" spans="1:5">
      <c r="A108" s="86">
        <v>107</v>
      </c>
      <c r="B108" s="86" t="s">
        <v>294</v>
      </c>
      <c r="C108" s="86">
        <v>115</v>
      </c>
      <c r="D108" s="86" t="s">
        <v>409</v>
      </c>
      <c r="E108" s="86">
        <v>1415</v>
      </c>
    </row>
    <row r="109" spans="1:5">
      <c r="A109" s="86">
        <v>108</v>
      </c>
      <c r="B109" s="86" t="s">
        <v>293</v>
      </c>
      <c r="C109" s="86">
        <v>115</v>
      </c>
      <c r="D109" s="86" t="s">
        <v>409</v>
      </c>
      <c r="E109" s="86">
        <v>1415</v>
      </c>
    </row>
    <row r="110" spans="1:5">
      <c r="A110" s="86">
        <v>109</v>
      </c>
      <c r="B110" s="86">
        <v>59810</v>
      </c>
      <c r="C110" s="86">
        <v>115</v>
      </c>
      <c r="D110" s="86" t="s">
        <v>409</v>
      </c>
      <c r="E110" s="86">
        <v>1515</v>
      </c>
    </row>
    <row r="111" spans="1:5">
      <c r="A111" s="86">
        <v>110</v>
      </c>
      <c r="B111" s="86" t="s">
        <v>292</v>
      </c>
      <c r="C111" s="86">
        <v>115</v>
      </c>
      <c r="D111" s="86" t="s">
        <v>409</v>
      </c>
      <c r="E111" s="86">
        <v>1515</v>
      </c>
    </row>
    <row r="112" spans="1:5">
      <c r="A112" s="86">
        <v>111</v>
      </c>
      <c r="B112" s="86" t="s">
        <v>291</v>
      </c>
      <c r="C112" s="86">
        <v>115</v>
      </c>
      <c r="D112" s="86" t="s">
        <v>409</v>
      </c>
      <c r="E112" s="86">
        <v>1515</v>
      </c>
    </row>
    <row r="113" spans="1:5">
      <c r="A113" s="86">
        <v>112</v>
      </c>
      <c r="B113" s="86" t="s">
        <v>290</v>
      </c>
      <c r="C113" s="86">
        <v>115</v>
      </c>
      <c r="D113" s="86" t="s">
        <v>409</v>
      </c>
      <c r="E113" s="86">
        <v>1515</v>
      </c>
    </row>
    <row r="114" spans="1:5">
      <c r="A114" s="86">
        <v>113</v>
      </c>
      <c r="B114" s="86">
        <v>64074</v>
      </c>
      <c r="C114" s="86">
        <v>115</v>
      </c>
      <c r="D114" s="86" t="s">
        <v>409</v>
      </c>
      <c r="E114" s="86">
        <v>1715</v>
      </c>
    </row>
    <row r="115" spans="1:5">
      <c r="A115" s="86">
        <v>114</v>
      </c>
      <c r="B115" s="86" t="s">
        <v>289</v>
      </c>
      <c r="C115" s="86">
        <v>115</v>
      </c>
      <c r="D115" s="86" t="s">
        <v>409</v>
      </c>
      <c r="E115" s="86">
        <v>1715</v>
      </c>
    </row>
    <row r="116" spans="1:5">
      <c r="A116" s="86">
        <v>115</v>
      </c>
      <c r="B116" s="86" t="s">
        <v>288</v>
      </c>
      <c r="C116" s="86">
        <v>115</v>
      </c>
      <c r="D116" s="86" t="s">
        <v>409</v>
      </c>
      <c r="E116" s="86">
        <v>1715</v>
      </c>
    </row>
    <row r="117" spans="1:5">
      <c r="A117" s="86">
        <v>116</v>
      </c>
      <c r="B117" s="86" t="s">
        <v>287</v>
      </c>
      <c r="C117" s="86">
        <v>115</v>
      </c>
      <c r="D117" s="86" t="s">
        <v>409</v>
      </c>
      <c r="E117" s="86">
        <v>1715</v>
      </c>
    </row>
    <row r="118" spans="1:5">
      <c r="A118" s="86">
        <v>117</v>
      </c>
      <c r="B118" s="86" t="s">
        <v>424</v>
      </c>
      <c r="C118" s="86">
        <v>115</v>
      </c>
      <c r="D118" s="86" t="s">
        <v>409</v>
      </c>
      <c r="E118" s="86">
        <v>1815</v>
      </c>
    </row>
    <row r="119" spans="1:5">
      <c r="A119" s="86">
        <v>118</v>
      </c>
      <c r="B119" s="86" t="s">
        <v>285</v>
      </c>
      <c r="C119" s="86">
        <v>115</v>
      </c>
      <c r="D119" s="86" t="s">
        <v>409</v>
      </c>
      <c r="E119" s="86">
        <v>1815</v>
      </c>
    </row>
    <row r="120" spans="1:5">
      <c r="A120" s="86">
        <v>119</v>
      </c>
      <c r="B120" s="86" t="s">
        <v>304</v>
      </c>
      <c r="C120" s="86">
        <v>115</v>
      </c>
      <c r="D120" s="86" t="s">
        <v>409</v>
      </c>
      <c r="E120" s="86" t="s">
        <v>416</v>
      </c>
    </row>
    <row r="121" spans="1:5">
      <c r="A121" s="86">
        <v>120</v>
      </c>
      <c r="B121" s="86">
        <v>65418</v>
      </c>
      <c r="C121" s="86">
        <v>115</v>
      </c>
      <c r="D121" s="86" t="s">
        <v>409</v>
      </c>
      <c r="E121" s="86">
        <v>1815</v>
      </c>
    </row>
    <row r="122" spans="1:5">
      <c r="A122" s="90">
        <v>121</v>
      </c>
      <c r="B122" s="90" t="s">
        <v>216</v>
      </c>
      <c r="C122" s="90">
        <v>116</v>
      </c>
      <c r="D122" s="90" t="s">
        <v>409</v>
      </c>
      <c r="E122" s="90" t="s">
        <v>416</v>
      </c>
    </row>
    <row r="123" spans="1:5">
      <c r="A123" s="90">
        <v>122</v>
      </c>
      <c r="B123" s="90" t="s">
        <v>217</v>
      </c>
      <c r="C123" s="90">
        <v>116</v>
      </c>
      <c r="D123" s="90" t="s">
        <v>409</v>
      </c>
      <c r="E123" s="90" t="s">
        <v>416</v>
      </c>
    </row>
    <row r="124" spans="1:5">
      <c r="A124" s="90">
        <v>123</v>
      </c>
      <c r="B124" s="90" t="s">
        <v>328</v>
      </c>
      <c r="C124" s="90">
        <v>116</v>
      </c>
      <c r="D124" s="90" t="s">
        <v>409</v>
      </c>
      <c r="E124" s="90">
        <v>1116</v>
      </c>
    </row>
    <row r="125" spans="1:5">
      <c r="A125" s="90">
        <v>124</v>
      </c>
      <c r="B125" s="90" t="s">
        <v>371</v>
      </c>
      <c r="C125" s="90">
        <v>116</v>
      </c>
      <c r="D125" s="90" t="s">
        <v>409</v>
      </c>
      <c r="E125" s="90">
        <v>1116</v>
      </c>
    </row>
    <row r="126" spans="1:5">
      <c r="A126" s="90">
        <v>125</v>
      </c>
      <c r="B126" s="90">
        <v>7733026</v>
      </c>
      <c r="C126" s="90">
        <v>116</v>
      </c>
      <c r="D126" s="90" t="s">
        <v>409</v>
      </c>
      <c r="E126" s="90">
        <v>1114</v>
      </c>
    </row>
    <row r="127" spans="1:5">
      <c r="A127" s="90">
        <v>126</v>
      </c>
      <c r="B127" s="90" t="s">
        <v>126</v>
      </c>
      <c r="C127" s="90">
        <v>116</v>
      </c>
      <c r="D127" s="90" t="s">
        <v>409</v>
      </c>
      <c r="E127" s="90">
        <v>1114</v>
      </c>
    </row>
    <row r="128" spans="1:5">
      <c r="A128" s="90">
        <v>127</v>
      </c>
      <c r="B128" s="90" t="s">
        <v>321</v>
      </c>
      <c r="C128" s="90">
        <v>116</v>
      </c>
      <c r="D128" s="90" t="s">
        <v>409</v>
      </c>
      <c r="E128" s="90">
        <v>1216</v>
      </c>
    </row>
    <row r="129" spans="1:5">
      <c r="A129" s="90">
        <v>128</v>
      </c>
      <c r="B129" s="90" t="s">
        <v>330</v>
      </c>
      <c r="C129" s="90">
        <v>116</v>
      </c>
      <c r="D129" s="90" t="s">
        <v>409</v>
      </c>
      <c r="E129" s="90">
        <v>1216</v>
      </c>
    </row>
    <row r="130" spans="1:5">
      <c r="A130" s="90">
        <v>129</v>
      </c>
      <c r="B130" s="90" t="s">
        <v>338</v>
      </c>
      <c r="C130" s="90">
        <v>116</v>
      </c>
      <c r="D130" s="90" t="s">
        <v>409</v>
      </c>
      <c r="E130" s="90">
        <v>1416</v>
      </c>
    </row>
    <row r="131" spans="1:5">
      <c r="A131" s="90">
        <v>130</v>
      </c>
      <c r="B131" s="90" t="s">
        <v>425</v>
      </c>
      <c r="C131" s="90">
        <v>116</v>
      </c>
      <c r="D131" s="90" t="s">
        <v>409</v>
      </c>
      <c r="E131" s="90" t="s">
        <v>416</v>
      </c>
    </row>
    <row r="132" spans="1:5">
      <c r="A132" s="90">
        <v>131</v>
      </c>
      <c r="B132" s="90" t="s">
        <v>364</v>
      </c>
      <c r="C132" s="90">
        <v>116</v>
      </c>
      <c r="D132" s="90" t="s">
        <v>409</v>
      </c>
      <c r="E132" s="90">
        <v>1416</v>
      </c>
    </row>
    <row r="133" spans="1:5">
      <c r="A133" s="90">
        <v>132</v>
      </c>
      <c r="B133" s="90" t="s">
        <v>327</v>
      </c>
      <c r="C133" s="90">
        <v>116</v>
      </c>
      <c r="D133" s="90" t="s">
        <v>409</v>
      </c>
      <c r="E133" s="90">
        <v>1416</v>
      </c>
    </row>
    <row r="134" spans="1:5">
      <c r="A134" s="90">
        <v>133</v>
      </c>
      <c r="B134" s="90" t="s">
        <v>377</v>
      </c>
      <c r="C134" s="90">
        <v>116</v>
      </c>
      <c r="D134" s="90" t="s">
        <v>409</v>
      </c>
      <c r="E134" s="90">
        <v>1516</v>
      </c>
    </row>
    <row r="135" spans="1:5">
      <c r="A135" s="90">
        <v>134</v>
      </c>
      <c r="B135" s="90">
        <v>64052</v>
      </c>
      <c r="C135" s="90">
        <v>116</v>
      </c>
      <c r="D135" s="90" t="s">
        <v>409</v>
      </c>
      <c r="E135" s="90">
        <v>1516</v>
      </c>
    </row>
    <row r="136" spans="1:5">
      <c r="A136" s="90">
        <v>135</v>
      </c>
      <c r="B136" s="90" t="s">
        <v>367</v>
      </c>
      <c r="C136" s="90">
        <v>116</v>
      </c>
      <c r="D136" s="90" t="s">
        <v>409</v>
      </c>
      <c r="E136" s="90">
        <v>1516</v>
      </c>
    </row>
    <row r="137" spans="1:5">
      <c r="A137" s="90">
        <v>136</v>
      </c>
      <c r="B137" s="90" t="s">
        <v>335</v>
      </c>
      <c r="C137" s="90">
        <v>116</v>
      </c>
      <c r="D137" s="90" t="s">
        <v>409</v>
      </c>
      <c r="E137" s="90">
        <v>1516</v>
      </c>
    </row>
    <row r="138" spans="1:5">
      <c r="A138" s="90">
        <v>137</v>
      </c>
      <c r="B138" s="90">
        <v>7432512</v>
      </c>
      <c r="C138" s="90">
        <v>116</v>
      </c>
      <c r="D138" s="90" t="s">
        <v>409</v>
      </c>
      <c r="E138" s="90">
        <v>1716</v>
      </c>
    </row>
    <row r="139" spans="1:5">
      <c r="A139" s="90">
        <v>138</v>
      </c>
      <c r="B139" s="90" t="s">
        <v>265</v>
      </c>
      <c r="C139" s="90">
        <v>116</v>
      </c>
      <c r="D139" s="90" t="s">
        <v>409</v>
      </c>
      <c r="E139" s="90">
        <v>1716</v>
      </c>
    </row>
    <row r="140" spans="1:5">
      <c r="A140" s="90">
        <v>139</v>
      </c>
      <c r="B140" s="90" t="s">
        <v>264</v>
      </c>
      <c r="C140" s="90">
        <v>116</v>
      </c>
      <c r="D140" s="90" t="s">
        <v>409</v>
      </c>
      <c r="E140" s="90">
        <v>1716</v>
      </c>
    </row>
    <row r="141" spans="1:5">
      <c r="A141" s="90">
        <v>140</v>
      </c>
      <c r="B141" s="90">
        <v>64057</v>
      </c>
      <c r="C141" s="90">
        <v>116</v>
      </c>
      <c r="D141" s="90" t="s">
        <v>409</v>
      </c>
      <c r="E141" s="90" t="s">
        <v>416</v>
      </c>
    </row>
    <row r="142" spans="1:5">
      <c r="A142" s="90">
        <v>141</v>
      </c>
      <c r="B142" s="90" t="s">
        <v>355</v>
      </c>
      <c r="C142" s="90">
        <v>116</v>
      </c>
      <c r="D142" s="90" t="s">
        <v>409</v>
      </c>
      <c r="E142" s="90">
        <v>1816</v>
      </c>
    </row>
    <row r="143" spans="1:5">
      <c r="A143" s="90">
        <v>142</v>
      </c>
      <c r="B143" s="90" t="s">
        <v>351</v>
      </c>
      <c r="C143" s="90">
        <v>116</v>
      </c>
      <c r="D143" s="90" t="s">
        <v>409</v>
      </c>
      <c r="E143" s="90">
        <v>1816</v>
      </c>
    </row>
    <row r="144" spans="1:5">
      <c r="A144" s="90">
        <v>143</v>
      </c>
      <c r="B144" s="90" t="s">
        <v>390</v>
      </c>
      <c r="C144" s="90">
        <v>116</v>
      </c>
      <c r="D144" s="90" t="s">
        <v>409</v>
      </c>
      <c r="E144" s="90" t="s">
        <v>416</v>
      </c>
    </row>
    <row r="145" spans="1:5">
      <c r="A145" s="90">
        <v>144</v>
      </c>
      <c r="B145" s="90">
        <v>59812</v>
      </c>
      <c r="C145" s="90">
        <v>116</v>
      </c>
      <c r="D145" s="90" t="s">
        <v>409</v>
      </c>
      <c r="E145" s="90">
        <v>1816</v>
      </c>
    </row>
    <row r="146" spans="1:5">
      <c r="A146" s="5">
        <v>145</v>
      </c>
      <c r="B146" s="5" t="s">
        <v>142</v>
      </c>
      <c r="C146" s="5" t="s">
        <v>405</v>
      </c>
      <c r="D146" s="5" t="s">
        <v>409</v>
      </c>
      <c r="E146" s="5">
        <v>1416</v>
      </c>
    </row>
    <row r="147" spans="1:5">
      <c r="A147" s="5">
        <v>146</v>
      </c>
      <c r="B147" s="5" t="s">
        <v>277</v>
      </c>
      <c r="C147" s="5" t="s">
        <v>405</v>
      </c>
      <c r="D147" s="5" t="s">
        <v>409</v>
      </c>
      <c r="E147" s="5">
        <v>1216</v>
      </c>
    </row>
    <row r="148" spans="1:5">
      <c r="A148" s="5">
        <v>147</v>
      </c>
      <c r="B148" s="5" t="s">
        <v>380</v>
      </c>
      <c r="C148" s="5" t="s">
        <v>405</v>
      </c>
      <c r="D148" s="5" t="s">
        <v>409</v>
      </c>
      <c r="E148" s="5" t="s">
        <v>416</v>
      </c>
    </row>
    <row r="149" spans="1:5">
      <c r="A149" s="5">
        <v>148</v>
      </c>
      <c r="B149" s="5" t="s">
        <v>143</v>
      </c>
      <c r="C149" s="5" t="s">
        <v>405</v>
      </c>
      <c r="D149" s="5" t="s">
        <v>409</v>
      </c>
      <c r="E149" s="5" t="s">
        <v>416</v>
      </c>
    </row>
    <row r="150" spans="1:5">
      <c r="A150" s="5">
        <v>149</v>
      </c>
      <c r="B150" s="5" t="s">
        <v>278</v>
      </c>
      <c r="C150" s="5" t="s">
        <v>405</v>
      </c>
      <c r="D150" s="5" t="e">
        <v>#N/A</v>
      </c>
    </row>
    <row r="151" spans="1:5">
      <c r="A151" s="5">
        <v>150</v>
      </c>
      <c r="B151" s="5">
        <v>8833344</v>
      </c>
      <c r="C151" s="5" t="s">
        <v>405</v>
      </c>
      <c r="D151" s="5" t="s">
        <v>409</v>
      </c>
      <c r="E151" s="5" t="s">
        <v>416</v>
      </c>
    </row>
    <row r="152" spans="1:5">
      <c r="A152" s="5">
        <v>151</v>
      </c>
      <c r="B152" s="5" t="s">
        <v>123</v>
      </c>
      <c r="C152" s="5" t="s">
        <v>405</v>
      </c>
      <c r="D152" s="5" t="s">
        <v>409</v>
      </c>
      <c r="E152" s="5" t="s">
        <v>416</v>
      </c>
    </row>
    <row r="153" spans="1:5">
      <c r="A153" s="5">
        <v>152</v>
      </c>
      <c r="B153" s="5" t="s">
        <v>205</v>
      </c>
      <c r="C153" s="5" t="s">
        <v>405</v>
      </c>
      <c r="D153" s="5" t="s">
        <v>409</v>
      </c>
      <c r="E153" s="5" t="s">
        <v>416</v>
      </c>
    </row>
    <row r="154" spans="1:5">
      <c r="A154" s="5">
        <v>153</v>
      </c>
      <c r="B154" s="5" t="s">
        <v>207</v>
      </c>
      <c r="C154" s="5" t="s">
        <v>405</v>
      </c>
      <c r="D154" s="5" t="s">
        <v>409</v>
      </c>
      <c r="E154" s="5" t="s">
        <v>416</v>
      </c>
    </row>
    <row r="155" spans="1:5">
      <c r="A155" s="5">
        <v>154</v>
      </c>
      <c r="B155" s="5" t="s">
        <v>183</v>
      </c>
      <c r="C155" s="5" t="s">
        <v>405</v>
      </c>
      <c r="D155" s="5" t="s">
        <v>409</v>
      </c>
      <c r="E155" s="5" t="s">
        <v>416</v>
      </c>
    </row>
    <row r="156" spans="1:5">
      <c r="A156" s="5">
        <v>155</v>
      </c>
      <c r="B156" s="44" t="s">
        <v>206</v>
      </c>
      <c r="C156" s="44" t="s">
        <v>406</v>
      </c>
      <c r="D156" s="5" t="s">
        <v>409</v>
      </c>
      <c r="E156" s="5" t="s">
        <v>416</v>
      </c>
    </row>
    <row r="157" spans="1:5">
      <c r="A157" s="5">
        <v>156</v>
      </c>
      <c r="B157" s="44" t="s">
        <v>275</v>
      </c>
      <c r="C157" s="44" t="s">
        <v>406</v>
      </c>
      <c r="D157" s="5" t="e">
        <v>#N/A</v>
      </c>
    </row>
    <row r="158" spans="1:5">
      <c r="A158" s="5">
        <v>157</v>
      </c>
      <c r="B158" s="84" t="s">
        <v>306</v>
      </c>
      <c r="C158" s="84" t="s">
        <v>406</v>
      </c>
      <c r="D158" s="5" t="s">
        <v>409</v>
      </c>
      <c r="E158" s="5" t="s">
        <v>416</v>
      </c>
    </row>
    <row r="159" spans="1:5">
      <c r="A159" s="5">
        <v>158</v>
      </c>
      <c r="B159" s="84" t="s">
        <v>307</v>
      </c>
      <c r="C159" s="84" t="s">
        <v>406</v>
      </c>
      <c r="D159" s="5" t="s">
        <v>409</v>
      </c>
      <c r="E159" s="5" t="s">
        <v>416</v>
      </c>
    </row>
    <row r="160" spans="1:5">
      <c r="A160" s="5">
        <v>159</v>
      </c>
      <c r="B160" s="84" t="s">
        <v>308</v>
      </c>
      <c r="C160" s="84" t="s">
        <v>406</v>
      </c>
      <c r="D160" s="5" t="s">
        <v>409</v>
      </c>
      <c r="E160" s="5" t="s">
        <v>416</v>
      </c>
    </row>
    <row r="161" spans="1:5">
      <c r="A161" s="5">
        <v>160</v>
      </c>
      <c r="B161" s="84" t="s">
        <v>309</v>
      </c>
      <c r="C161" s="84" t="s">
        <v>406</v>
      </c>
      <c r="D161" s="5" t="s">
        <v>409</v>
      </c>
      <c r="E161" s="5" t="s">
        <v>416</v>
      </c>
    </row>
    <row r="162" spans="1:5">
      <c r="A162" s="5">
        <v>161</v>
      </c>
      <c r="B162" s="84" t="s">
        <v>310</v>
      </c>
      <c r="C162" s="84" t="s">
        <v>406</v>
      </c>
      <c r="D162" s="5" t="s">
        <v>409</v>
      </c>
      <c r="E162" s="5" t="s">
        <v>416</v>
      </c>
    </row>
    <row r="163" spans="1:5">
      <c r="A163" s="5">
        <v>162</v>
      </c>
      <c r="B163" s="84" t="s">
        <v>311</v>
      </c>
      <c r="C163" s="84" t="s">
        <v>406</v>
      </c>
      <c r="D163" s="5" t="s">
        <v>409</v>
      </c>
      <c r="E163" s="5" t="s">
        <v>416</v>
      </c>
    </row>
    <row r="164" spans="1:5">
      <c r="A164" s="5">
        <v>163</v>
      </c>
      <c r="B164" s="84" t="s">
        <v>312</v>
      </c>
      <c r="C164" s="84" t="s">
        <v>406</v>
      </c>
      <c r="D164" s="5" t="s">
        <v>409</v>
      </c>
      <c r="E164" s="5" t="s">
        <v>416</v>
      </c>
    </row>
    <row r="165" spans="1:5">
      <c r="A165" s="5">
        <v>164</v>
      </c>
      <c r="B165" s="5" t="s">
        <v>280</v>
      </c>
      <c r="C165" s="5" t="s">
        <v>407</v>
      </c>
      <c r="D165" s="5" t="s">
        <v>409</v>
      </c>
      <c r="E165" s="5" t="s">
        <v>416</v>
      </c>
    </row>
    <row r="166" spans="1:5">
      <c r="A166" s="5">
        <v>165</v>
      </c>
      <c r="B166" s="5" t="s">
        <v>132</v>
      </c>
      <c r="C166" s="5" t="s">
        <v>407</v>
      </c>
      <c r="D166" s="5" t="s">
        <v>409</v>
      </c>
      <c r="E166" s="5">
        <v>1712</v>
      </c>
    </row>
    <row r="167" spans="1:5">
      <c r="A167" s="5">
        <v>166</v>
      </c>
      <c r="B167" s="5" t="s">
        <v>281</v>
      </c>
      <c r="C167" s="5" t="s">
        <v>407</v>
      </c>
      <c r="D167" s="5" t="e">
        <v>#N/A</v>
      </c>
    </row>
    <row r="168" spans="1:5">
      <c r="A168" s="5">
        <v>167</v>
      </c>
      <c r="B168" s="5" t="s">
        <v>282</v>
      </c>
      <c r="C168" s="5" t="s">
        <v>407</v>
      </c>
      <c r="D168" s="5" t="s">
        <v>409</v>
      </c>
      <c r="E168" s="5" t="s">
        <v>416</v>
      </c>
    </row>
    <row r="169" spans="1:5">
      <c r="A169" s="5">
        <v>168</v>
      </c>
      <c r="B169" s="5">
        <v>65410</v>
      </c>
      <c r="C169" s="5" t="s">
        <v>407</v>
      </c>
      <c r="D169" s="5" t="s">
        <v>409</v>
      </c>
      <c r="E169" s="5" t="s">
        <v>416</v>
      </c>
    </row>
    <row r="170" spans="1:5">
      <c r="A170" s="5">
        <v>169</v>
      </c>
      <c r="B170" s="5" t="s">
        <v>283</v>
      </c>
      <c r="C170" s="5" t="s">
        <v>407</v>
      </c>
      <c r="D170" s="5" t="s">
        <v>409</v>
      </c>
      <c r="E170" s="5" t="s">
        <v>416</v>
      </c>
    </row>
    <row r="171" spans="1:5">
      <c r="A171" s="5">
        <v>170</v>
      </c>
      <c r="B171" s="5" t="s">
        <v>146</v>
      </c>
      <c r="C171" s="5" t="s">
        <v>407</v>
      </c>
      <c r="D171" s="5" t="e">
        <v>#N/A</v>
      </c>
    </row>
    <row r="172" spans="1:5">
      <c r="A172" s="5">
        <v>171</v>
      </c>
      <c r="B172" s="5" t="s">
        <v>147</v>
      </c>
      <c r="C172" s="5" t="s">
        <v>407</v>
      </c>
      <c r="D172" s="5" t="s">
        <v>409</v>
      </c>
      <c r="E172" s="5" t="s">
        <v>416</v>
      </c>
    </row>
    <row r="173" spans="1:5">
      <c r="A173" s="5">
        <v>172</v>
      </c>
      <c r="B173" s="84" t="s">
        <v>384</v>
      </c>
      <c r="C173" s="84" t="s">
        <v>408</v>
      </c>
      <c r="D173" s="5" t="s">
        <v>409</v>
      </c>
      <c r="E173" s="5" t="s">
        <v>416</v>
      </c>
    </row>
    <row r="174" spans="1:5">
      <c r="A174" s="5">
        <v>173</v>
      </c>
      <c r="B174" s="84">
        <v>9134584</v>
      </c>
      <c r="C174" s="84" t="s">
        <v>408</v>
      </c>
      <c r="D174" s="5" t="s">
        <v>409</v>
      </c>
      <c r="E174" s="5" t="s">
        <v>416</v>
      </c>
    </row>
    <row r="175" spans="1:5">
      <c r="A175" s="5">
        <v>174</v>
      </c>
      <c r="B175" s="84" t="s">
        <v>387</v>
      </c>
      <c r="C175" s="84" t="s">
        <v>408</v>
      </c>
      <c r="D175" s="5" t="s">
        <v>409</v>
      </c>
      <c r="E175" s="5" t="s">
        <v>416</v>
      </c>
    </row>
    <row r="176" spans="1:5">
      <c r="A176" s="5">
        <v>175</v>
      </c>
      <c r="B176" s="84">
        <v>9134547</v>
      </c>
      <c r="C176" s="84" t="s">
        <v>408</v>
      </c>
      <c r="D176" s="5" t="s">
        <v>409</v>
      </c>
      <c r="E176" s="5" t="s">
        <v>416</v>
      </c>
    </row>
    <row r="177" spans="1:5">
      <c r="A177" s="5">
        <v>176</v>
      </c>
      <c r="B177" s="84">
        <v>96320368</v>
      </c>
      <c r="C177" s="84" t="s">
        <v>408</v>
      </c>
      <c r="D177" s="5" t="s">
        <v>409</v>
      </c>
      <c r="E177" s="5" t="s">
        <v>416</v>
      </c>
    </row>
    <row r="178" spans="1:5">
      <c r="A178" s="5">
        <v>177</v>
      </c>
      <c r="B178" s="84">
        <v>8833358</v>
      </c>
      <c r="C178" s="84" t="s">
        <v>408</v>
      </c>
      <c r="D178" s="5" t="s">
        <v>409</v>
      </c>
      <c r="E178" s="5" t="s">
        <v>416</v>
      </c>
    </row>
    <row r="179" spans="1:5">
      <c r="A179" s="5">
        <v>178</v>
      </c>
      <c r="B179" s="84">
        <v>9134504</v>
      </c>
      <c r="C179" s="84" t="s">
        <v>408</v>
      </c>
      <c r="D179" s="5" t="s">
        <v>409</v>
      </c>
      <c r="E179" s="5" t="s">
        <v>416</v>
      </c>
    </row>
    <row r="180" spans="1:5">
      <c r="A180" s="5">
        <v>179</v>
      </c>
      <c r="B180" s="84" t="s">
        <v>385</v>
      </c>
      <c r="C180" s="84" t="s">
        <v>408</v>
      </c>
      <c r="D180" s="5" t="s">
        <v>409</v>
      </c>
      <c r="E180" s="5" t="s">
        <v>416</v>
      </c>
    </row>
    <row r="181" spans="1:5">
      <c r="A181" s="5">
        <v>180</v>
      </c>
      <c r="B181" s="84" t="s">
        <v>383</v>
      </c>
      <c r="C181" s="84" t="s">
        <v>408</v>
      </c>
      <c r="D181" s="5" t="s">
        <v>409</v>
      </c>
      <c r="E181" s="5" t="s">
        <v>416</v>
      </c>
    </row>
    <row r="182" spans="1:5">
      <c r="A182" s="5">
        <v>181</v>
      </c>
      <c r="B182" s="84">
        <v>96320326</v>
      </c>
      <c r="C182" s="84" t="s">
        <v>408</v>
      </c>
      <c r="D182" s="5" t="s">
        <v>409</v>
      </c>
      <c r="E182" s="5" t="s">
        <v>416</v>
      </c>
    </row>
    <row r="183" spans="1:5">
      <c r="A183" s="5">
        <v>182</v>
      </c>
      <c r="B183" s="84" t="s">
        <v>381</v>
      </c>
      <c r="C183" s="84" t="s">
        <v>408</v>
      </c>
      <c r="D183" s="5" t="s">
        <v>409</v>
      </c>
      <c r="E183" s="5" t="s">
        <v>416</v>
      </c>
    </row>
    <row r="184" spans="1:5">
      <c r="A184" s="5">
        <v>183</v>
      </c>
      <c r="B184" s="84">
        <v>9134510</v>
      </c>
      <c r="C184" s="84" t="s">
        <v>408</v>
      </c>
      <c r="D184" s="5" t="s">
        <v>409</v>
      </c>
      <c r="E184" s="5" t="s">
        <v>416</v>
      </c>
    </row>
  </sheetData>
  <autoFilter ref="A1:E184" xr:uid="{00000000-0009-0000-0000-00000C000000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4</vt:i4>
      </vt:variant>
    </vt:vector>
  </HeadingPairs>
  <TitlesOfParts>
    <vt:vector size="17" baseType="lpstr">
      <vt:lpstr>1호선 ADV 현황</vt:lpstr>
      <vt:lpstr>1호선 ADV 관리전환 현황</vt:lpstr>
      <vt:lpstr>1호선 ADV 상세취부내역</vt:lpstr>
      <vt:lpstr>TM교체이력</vt:lpstr>
      <vt:lpstr>24년도 수선반출 내역</vt:lpstr>
      <vt:lpstr>불용 내역</vt:lpstr>
      <vt:lpstr>수선(집행특례)내역 24년도</vt:lpstr>
      <vt:lpstr>수선(집행특례)내역</vt:lpstr>
      <vt:lpstr>수선집행특례내역</vt:lpstr>
      <vt:lpstr>브러쉬홀더 보유현황</vt:lpstr>
      <vt:lpstr>홀더정산내역</vt:lpstr>
      <vt:lpstr>홀더구매내역</vt:lpstr>
      <vt:lpstr>Sheet2</vt:lpstr>
      <vt:lpstr>'1호선 ADV 상세취부내역'!Print_Area</vt:lpstr>
      <vt:lpstr>'24년도 수선반출 내역'!Print_Area</vt:lpstr>
      <vt:lpstr>TM교체이력!Print_Area</vt:lpstr>
      <vt:lpstr>'불용 내역'!Print_Area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홍길둥-0000</dc:creator>
  <cp:lastModifiedBy>a2364</cp:lastModifiedBy>
  <cp:lastPrinted>2024-04-15T00:58:36Z</cp:lastPrinted>
  <dcterms:created xsi:type="dcterms:W3CDTF">2021-03-30T23:24:08Z</dcterms:created>
  <dcterms:modified xsi:type="dcterms:W3CDTF">2026-05-22T02:04:48Z</dcterms:modified>
</cp:coreProperties>
</file>